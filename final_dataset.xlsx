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E7C8B1A-9D10-449B-B069-DEE0EED417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_Data" sheetId="2" r:id="rId1"/>
    <sheet name="Data_Dictionar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2" i="2"/>
</calcChain>
</file>

<file path=xl/sharedStrings.xml><?xml version="1.0" encoding="utf-8"?>
<sst xmlns="http://schemas.openxmlformats.org/spreadsheetml/2006/main" count="1797" uniqueCount="683">
  <si>
    <t>University</t>
  </si>
  <si>
    <t>Province</t>
  </si>
  <si>
    <t>QS Ranking</t>
  </si>
  <si>
    <t>Program</t>
  </si>
  <si>
    <t>Tuition Int'l (CAD)</t>
  </si>
  <si>
    <t>Tuition Domestic (CAD)</t>
  </si>
  <si>
    <t>Living Cost / yr</t>
  </si>
  <si>
    <t>Living Cost /yr_Transformed</t>
  </si>
  <si>
    <t>Duration in months</t>
  </si>
  <si>
    <t>Coop_Level</t>
  </si>
  <si>
    <t>GMAT_Level</t>
  </si>
  <si>
    <t>Total Enrollment for program</t>
  </si>
  <si>
    <t>Employment Rate</t>
  </si>
  <si>
    <t>Avg Salary (CAD)</t>
  </si>
  <si>
    <t>Program URLs</t>
  </si>
  <si>
    <t>QS URLs</t>
  </si>
  <si>
    <t>Tution fee URLs</t>
  </si>
  <si>
    <t>Living cost URLs</t>
  </si>
  <si>
    <t>DLI URLs</t>
  </si>
  <si>
    <t>Employement data URLs</t>
  </si>
  <si>
    <t>University of British Columbia</t>
  </si>
  <si>
    <t>BC</t>
  </si>
  <si>
    <t>40</t>
  </si>
  <si>
    <t>Master of Business Analytics (MBAN)</t>
  </si>
  <si>
    <t>17,000 – 22,000</t>
  </si>
  <si>
    <t>12</t>
  </si>
  <si>
    <t>100</t>
  </si>
  <si>
    <t>87%</t>
  </si>
  <si>
    <t>80,611</t>
  </si>
  <si>
    <t xml:space="preserve">https://www.grad.ubc.ca/prospective-students/graduate-degree-programs/master-of-business-analytics
</t>
  </si>
  <si>
    <t>QS Ranking Source
https://www.topuniversities.com/universities/university-british-columbia</t>
  </si>
  <si>
    <t>https://vancouver.housing.ubc.ca/applications/fees-payments/</t>
  </si>
  <si>
    <t>https://www.grad.ubc.ca/prospective-students/tuition-fees-cost-living/cost-living</t>
  </si>
  <si>
    <t>https://www.canada.ca/en/immigration-refugees-citizenship/services/study-canada/study-permit/prepare/designated-learning-institutions-list.html#public</t>
  </si>
  <si>
    <t>https://www.sauder.ubc.ca/programs/masters-degrees/mban/career-outcomes</t>
  </si>
  <si>
    <t>Master of Business Administration (MBA)</t>
  </si>
  <si>
    <t>16</t>
  </si>
  <si>
    <t>90</t>
  </si>
  <si>
    <t>90%</t>
  </si>
  <si>
    <t>100,000</t>
  </si>
  <si>
    <t>https://www.grad.ubc.ca/prospective-students/graduate-degree-programs/master-of-business-administration</t>
  </si>
  <si>
    <t>https://www.sauder.ubc.ca/programs/masters-degrees/ubc-mba/career-outcomes</t>
  </si>
  <si>
    <t>Master of Management (MM)</t>
  </si>
  <si>
    <t>9</t>
  </si>
  <si>
    <t>190</t>
  </si>
  <si>
    <t>76%</t>
  </si>
  <si>
    <t>65,000</t>
  </si>
  <si>
    <t>https://www.sauder.ubc.ca/programs/masters-degrees/ubc-mm ; https://www.grad.ubc.ca/prospective-students/graduate-degree-programs/master-of-management</t>
  </si>
  <si>
    <t>https://www.sauder.ubc.ca/programs/masters-degrees/ubc-mm/career-outcomes</t>
  </si>
  <si>
    <t>University of Toronto</t>
  </si>
  <si>
    <t>Ontario</t>
  </si>
  <si>
    <t>29</t>
  </si>
  <si>
    <t>Master of Management (MMgt)</t>
  </si>
  <si>
    <t>11</t>
  </si>
  <si>
    <t>https://www.rotman.utoronto.ca/programs/master-of-management/</t>
  </si>
  <si>
    <t>https://www.topuniversities.com/universities/university-toronto</t>
  </si>
  <si>
    <t>https://www.rotman.utoronto.ca/programs/master-of-management/tuition-scholarships</t>
  </si>
  <si>
    <t>https://www.numbeo.com/cost-of-living/in/Toronto</t>
  </si>
  <si>
    <t>https://www.canada.ca/en/immigration-refugees-citizenship/services/study-canada/study-permit/designated-learning-institutions-list.html</t>
  </si>
  <si>
    <t>https://www.rotman.utoronto.ca/programs/specialized-programs/master-of-management-analytics/career-impact/</t>
  </si>
  <si>
    <t>Master of Management Analytics (MMA)</t>
  </si>
  <si>
    <t>17,000-20,000</t>
  </si>
  <si>
    <t>95%</t>
  </si>
  <si>
    <t>83,400</t>
  </si>
  <si>
    <t>https://www.rotman.utoronto.ca/programs/specialized-programs/master-of-management-analytics</t>
  </si>
  <si>
    <t>https://www.rotman.utoronto.ca/programs/specialized-programs/master-of-management-analytics/tuition-scholarships</t>
  </si>
  <si>
    <t>20</t>
  </si>
  <si>
    <t>300</t>
  </si>
  <si>
    <t>92%</t>
  </si>
  <si>
    <t>134,000</t>
  </si>
  <si>
    <t>https://www.rotman.utoronto.ca/programs/mba-programs/full-time-mba</t>
  </si>
  <si>
    <t>https://www.rotman.utoronto.ca/programs/mba-programs/full-time-mba/tuition-scholarships</t>
  </si>
  <si>
    <t>https://www.rotman.utoronto.ca/programs/mba-programs/full-time-mba/careers/</t>
  </si>
  <si>
    <t>Master of Finance (MFin)</t>
  </si>
  <si>
    <t>15</t>
  </si>
  <si>
    <t>80</t>
  </si>
  <si>
    <t>https://www.rotman.utoronto.ca/registrar/programs/specialized-programs/master-of-finance</t>
  </si>
  <si>
    <t>https://www.rotman.utoronto.ca/registrar/programs/specialized-programs/master-of-finance/tuition-scholarships</t>
  </si>
  <si>
    <t>https://www.rotman.utoronto.ca/programs/specialized-programs/master-of-finance/your-career-and-impact/</t>
  </si>
  <si>
    <t>Master of Financial Risk Management (MFRM)</t>
  </si>
  <si>
    <t>10</t>
  </si>
  <si>
    <t>70</t>
  </si>
  <si>
    <t>82400</t>
  </si>
  <si>
    <t>https://www.rotman.utoronto.ca/programs/specialized-programs/master-of-financial-risk-management</t>
  </si>
  <si>
    <t>https://www.rotman.utoronto.ca/programs/specialized-programs/master-of-financial-risk-management/tuition-scholarships</t>
  </si>
  <si>
    <t>https://www.rotman.utoronto.ca/programs/specialized-programs/master-of-financial-risk-management/career-impact/</t>
  </si>
  <si>
    <t>York University</t>
  </si>
  <si>
    <t>333</t>
  </si>
  <si>
    <t>MBA</t>
  </si>
  <si>
    <t>350</t>
  </si>
  <si>
    <t>95,000</t>
  </si>
  <si>
    <t>https://schulich.yorku.ca/programs/mba/</t>
  </si>
  <si>
    <t>https://www.topuniversities.com/universities/york-university</t>
  </si>
  <si>
    <t>https://schulich.yorku.ca/admissions/tuition-fees-costs/</t>
  </si>
  <si>
    <t>https://schulich.yorku.ca/student-life-services/career-centre/for-recruiters/employment-and-salary-reports/</t>
  </si>
  <si>
    <t>80,000</t>
  </si>
  <si>
    <t>https://schulich.yorku.ca/programs/mban/</t>
  </si>
  <si>
    <t>same</t>
  </si>
  <si>
    <t>Master of Finance (MF)</t>
  </si>
  <si>
    <t>85,000</t>
  </si>
  <si>
    <t>https://schulich.yorku.ca/programs/mf/</t>
  </si>
  <si>
    <t>120</t>
  </si>
  <si>
    <t>88%</t>
  </si>
  <si>
    <t>https://schulich.yorku.ca/programs/mmgt/</t>
  </si>
  <si>
    <t>Master of Accounting (MAcc)</t>
  </si>
  <si>
    <t>70,000</t>
  </si>
  <si>
    <t>https://schulich.yorku.ca/programs/macc/</t>
  </si>
  <si>
    <t>Western University (Ivey Business School)</t>
  </si>
  <si>
    <t>151</t>
  </si>
  <si>
    <t>Full-Time MBA</t>
  </si>
  <si>
    <t>156500</t>
  </si>
  <si>
    <t>125500</t>
  </si>
  <si>
    <t>18,000–22,000</t>
  </si>
  <si>
    <t>170</t>
  </si>
  <si>
    <t>115000</t>
  </si>
  <si>
    <t>https://www.ivey.uwo.ca/mba/</t>
  </si>
  <si>
    <t>https://www.topuniversities.com/universities/western-university</t>
  </si>
  <si>
    <t>https://www.ivey.uwo.ca/mba/admissions/tuition-financing/</t>
  </si>
  <si>
    <t>https://www.westernu.ca/international/</t>
  </si>
  <si>
    <t>https://www.ivey.uwo.ca/recruiter/employment-insights-reports/</t>
  </si>
  <si>
    <t>Master of Management in Analytics</t>
  </si>
  <si>
    <t>72500</t>
  </si>
  <si>
    <t>62500</t>
  </si>
  <si>
    <t>17,000–21,000</t>
  </si>
  <si>
    <t>95000</t>
  </si>
  <si>
    <t>https://www.ivey.uwo.ca/mma/</t>
  </si>
  <si>
    <t>https://www.ivey.uwo.ca/analytics/admissions/tuition/</t>
  </si>
  <si>
    <t>Accelerated MBA</t>
  </si>
  <si>
    <t>120500</t>
  </si>
  <si>
    <t>14</t>
  </si>
  <si>
    <t>140</t>
  </si>
  <si>
    <t>91%</t>
  </si>
  <si>
    <t>105000</t>
  </si>
  <si>
    <t>https://www.ivey.uwo.ca/amba/</t>
  </si>
  <si>
    <t>https://www.ivey.uwo.ca/amba/admissions/tuition/</t>
  </si>
  <si>
    <t>MSc in Management</t>
  </si>
  <si>
    <t>93765</t>
  </si>
  <si>
    <t>38250</t>
  </si>
  <si>
    <t>180</t>
  </si>
  <si>
    <t>80000</t>
  </si>
  <si>
    <t>https://www.ivey.uwo.ca/msc/</t>
  </si>
  <si>
    <t>https://www.ivey.uwo.ca/msc/admission/cost/</t>
  </si>
  <si>
    <t>Queen's University (Smith School of Business)</t>
  </si>
  <si>
    <t>193</t>
  </si>
  <si>
    <t>82</t>
  </si>
  <si>
    <t>125000</t>
  </si>
  <si>
    <t>https://smith.queensu.ca/mba_programs/mba/</t>
  </si>
  <si>
    <t>https://www.topuniversities.com/universities/queens-university-canada</t>
  </si>
  <si>
    <t>https://smith.queensu.ca/mba_programs/mba/fees.php</t>
  </si>
  <si>
    <t>https://www.queensu.ca/international/</t>
  </si>
  <si>
    <t>https://smith.queensu.ca/mba_programs/mba/careers/</t>
  </si>
  <si>
    <t>Master of International Business</t>
  </si>
  <si>
    <t>94%</t>
  </si>
  <si>
    <t>88000</t>
  </si>
  <si>
    <t>https://smith.queensu.ca/grad_studies/mib/</t>
  </si>
  <si>
    <t>https://smith.queensu.ca/grad_studies/mib/fees.php</t>
  </si>
  <si>
    <t>https://smith.queensu.ca/recruiting/class-profiles/mib.php?</t>
  </si>
  <si>
    <t>Master of Management Innovation and Entrepreneurship</t>
  </si>
  <si>
    <t>85000</t>
  </si>
  <si>
    <t>https://smith.queensu.ca/grad_studies/mmie/</t>
  </si>
  <si>
    <t>https://smith.queensu.ca/grad_studies/mmie/fees.php</t>
  </si>
  <si>
    <t>Master of Management Analytics</t>
  </si>
  <si>
    <t>93%</t>
  </si>
  <si>
    <t>98000</t>
  </si>
  <si>
    <t>https://smith.queensu.ca/grad_studies/mma/</t>
  </si>
  <si>
    <t>https://smith.queensu.ca/grad_studies/mma/fees.php</t>
  </si>
  <si>
    <t>https://smith.queensu.ca/recruiting/class-profiles/mma.php</t>
  </si>
  <si>
    <t>University of Windsor</t>
  </si>
  <si>
    <t>546</t>
  </si>
  <si>
    <t>MBA (Full-Time)</t>
  </si>
  <si>
    <t>50</t>
  </si>
  <si>
    <t>https://www.uwindsor.ca/business/319/master-business-administration</t>
  </si>
  <si>
    <t>QS World University Rankings 2026: Top Global Universities | TopUniversities</t>
  </si>
  <si>
    <t>https://www.uwindsor.ca/finance/fee-estimator</t>
  </si>
  <si>
    <t>https://www.uwindsor.ca/business/319/master-business-administration?</t>
  </si>
  <si>
    <t>200</t>
  </si>
  <si>
    <t>85%</t>
  </si>
  <si>
    <t>75,000</t>
  </si>
  <si>
    <t>https://www.uwindsor.ca/business/366/master-management</t>
  </si>
  <si>
    <t>https://www.uwindsor.ca/institutional-analysis/sites/uwindsor.ca.institutional-analysis/files/mcu_kpis_windsor_2022-2023_0.pdf?</t>
  </si>
  <si>
    <t>Toronto Metropolitan University</t>
  </si>
  <si>
    <t>711-720</t>
  </si>
  <si>
    <t>Master of Science in Management (MScM)</t>
  </si>
  <si>
    <t>https://www.torontomu.ca/graduate/programs/master-science-management/</t>
  </si>
  <si>
    <t>https://www.torontomu.ca/tedrogersschool/master-science-management/admissions/tuition/</t>
  </si>
  <si>
    <t>https://www.torontomu.ca/university-planning/data-statistics/key-performance-indicators/#!accordion-1561476607085-graduation-rates</t>
  </si>
  <si>
    <t>100000</t>
  </si>
  <si>
    <t>https://www.torontomu.ca/mba/</t>
  </si>
  <si>
    <t>https://www.torontomu.ca/mba/admissions/tuition-fees/</t>
  </si>
  <si>
    <t>McGill University</t>
  </si>
  <si>
    <t>Quebec</t>
  </si>
  <si>
    <t>27</t>
  </si>
  <si>
    <t>83%</t>
  </si>
  <si>
    <t>105,511</t>
  </si>
  <si>
    <t>https://www.mcgill.ca/desautels/programs/mba-programs/mba</t>
  </si>
  <si>
    <t>https://www.mcgill.ca/desautels/programs/mba-programs/mba/admissions</t>
  </si>
  <si>
    <t>https://www.universityliving.com/blog/student-finances/cost-of-living-montreal-for-students/</t>
  </si>
  <si>
    <t>https://www.mcgill.ca/desautels/programs/mba-programs/mba/career/employment-stats</t>
  </si>
  <si>
    <t>Master of Management in Analytics (MMA)</t>
  </si>
  <si>
    <t>https://www.mcgill.ca/desautels/programs/mma</t>
  </si>
  <si>
    <t>https://www.mcgill.ca/desautels/programs/mma/admissions</t>
  </si>
  <si>
    <t>https://www.mcgill.ca/desautels/programs/mma/careers/employment-statistics</t>
  </si>
  <si>
    <t>Master of Management in Finance (MMF)</t>
  </si>
  <si>
    <t>https://www.mcgill.ca/desautels/programs/mmf</t>
  </si>
  <si>
    <t>https://www.mcgill.ca/desautels/programs/mmf/admissions/tuition-and-financial-aid</t>
  </si>
  <si>
    <t>https://www.mcgill.ca/desautels/programs/mmf/career/employment-statistics</t>
  </si>
  <si>
    <t>Master of Management in Retailing (MMR)</t>
  </si>
  <si>
    <t>55,000</t>
  </si>
  <si>
    <t>https://www.mcgill.ca/desautels/programs/master-management-retailing-mmr</t>
  </si>
  <si>
    <t>https://www.mcgill.ca/desautels/programs/master-management-retailing-mmr/admissions/tuition-and-financial-aid</t>
  </si>
  <si>
    <t>https://www.mcgill.ca/desautels/programs/master-management-retailing-mmr/career/employment-statistics</t>
  </si>
  <si>
    <t>Concordia University</t>
  </si>
  <si>
    <t>465</t>
  </si>
  <si>
    <t>MSc Business Analytics &amp; Technology Management</t>
  </si>
  <si>
    <t>24</t>
  </si>
  <si>
    <t>https://www.concordia.ca/jmsb/programs/graduate/msc-batm.html</t>
  </si>
  <si>
    <t>https://www.concordia.ca/jmsb/programs/graduate/msc-batm/tuition-aid.html</t>
  </si>
  <si>
    <t>https://www.concordia.ca/students/financial/tuition-fees/costs.html?</t>
  </si>
  <si>
    <t>https://www.concordia.ca/jmsb/career/employers/employment-statistics.html</t>
  </si>
  <si>
    <t>MSc Finance</t>
  </si>
  <si>
    <t>35</t>
  </si>
  <si>
    <t>92,250</t>
  </si>
  <si>
    <t>https://www.concordia.ca/academics/graduate/finance-msc.html</t>
  </si>
  <si>
    <t>https://www.concordia.ca/academics/graduate/finance-msc.html?</t>
  </si>
  <si>
    <t>MSc Management</t>
  </si>
  <si>
    <t>30</t>
  </si>
  <si>
    <t>93,000</t>
  </si>
  <si>
    <t>https://www.concordia.ca/jmsb/programs/graduate/msc-management.html</t>
  </si>
  <si>
    <t>https://www.concordia.ca/jmsb/programs/graduate/msc-management/tuition-aid.html</t>
  </si>
  <si>
    <t>MSc Marketing</t>
  </si>
  <si>
    <t>54,000</t>
  </si>
  <si>
    <t>https://www.concordia.ca/academics/graduate/marketing-msc.html</t>
  </si>
  <si>
    <t>https://www.concordia.ca/academics/graduate/marketing-msc.html?</t>
  </si>
  <si>
    <t>Master of Supply Chain Management (MSCM)</t>
  </si>
  <si>
    <t>77,333</t>
  </si>
  <si>
    <t>https://www.concordia.ca/jmsb/programs/graduate/mscm.html</t>
  </si>
  <si>
    <t>https://www.concordia.ca/jmsb/mba.html?</t>
  </si>
  <si>
    <t>86%</t>
  </si>
  <si>
    <t>107182</t>
  </si>
  <si>
    <t>https://www.concordia.ca/jmsb/mba.html</t>
  </si>
  <si>
    <t>Brock University</t>
  </si>
  <si>
    <t>1201-1403</t>
  </si>
  <si>
    <t>Master of Accountancy (MAcc)</t>
  </si>
  <si>
    <t>8</t>
  </si>
  <si>
    <t>https://brocku.ca/programs/graduate/macc/</t>
  </si>
  <si>
    <t>https://brocku.ca/safa/2025-graduate-tuition-and-fees/#1646778381885-9a2d0ec1-3371fd50-8a0fd1c3-6c58b5df-efab</t>
  </si>
  <si>
    <t>https://www.topuniversities.com/universities/brock-university#p2-costofliving</t>
  </si>
  <si>
    <t>Accounting career reports</t>
  </si>
  <si>
    <t>1201-1404</t>
  </si>
  <si>
    <t>https://brocku.ca/programs/graduate/mba/</t>
  </si>
  <si>
    <t>MBA career reports</t>
  </si>
  <si>
    <t>1201-1405</t>
  </si>
  <si>
    <t>Master of Science in Management (MSc)</t>
  </si>
  <si>
    <t>https://brocku.ca/programs/graduate/msc/</t>
  </si>
  <si>
    <t>Graduate outcomes</t>
  </si>
  <si>
    <t>University of Guelph</t>
  </si>
  <si>
    <t>504</t>
  </si>
  <si>
    <t>87,000</t>
  </si>
  <si>
    <t>https://www.uoguelph.ca/lang/msc-management</t>
  </si>
  <si>
    <t>https://www.uoguelph.ca/lang/masters-project-management/</t>
  </si>
  <si>
    <t>Guelph grad studies cost</t>
  </si>
  <si>
    <t>https://www.uoguelph.ca/lang/news/2023/03/lang-publishes-first-employment-report-commerce-program?</t>
  </si>
  <si>
    <t>Trent University</t>
  </si>
  <si>
    <t>801-1000</t>
  </si>
  <si>
    <t>Master of Management (M.Mgt)</t>
  </si>
  <si>
    <t>https://www.trentu.ca/mmgt</t>
  </si>
  <si>
    <t>QS ranking list</t>
  </si>
  <si>
    <t>https://www.trentu.ca/graduatestudies/financial-matters/student-account-and-tuition/management-program-fees-durham-campus</t>
  </si>
  <si>
    <t>Trent international budget</t>
  </si>
  <si>
    <t xml:space="preserve">https://www.trentu.ca/oipa/employment-rates? </t>
  </si>
  <si>
    <t>Wilfrid Laurier University</t>
  </si>
  <si>
    <t>1201-1500</t>
  </si>
  <si>
    <t>56000</t>
  </si>
  <si>
    <t>24000</t>
  </si>
  <si>
    <t>https://www.wlu.ca/programs/business-and-economics/graduate/business-administration-mba/index.html</t>
  </si>
  <si>
    <t>https://www.topuniversities.com/universities/wilfrid-laurier-university</t>
  </si>
  <si>
    <t>https://students.wlu.ca/student-finances/tuition-and-fees/index.html</t>
  </si>
  <si>
    <t>https://students.wlu.ca/career-and-experiential-learning/career-and-employment-support/assets/documents/graduate-survey-summary-report.pdf</t>
  </si>
  <si>
    <t>MBA (Co-op)</t>
  </si>
  <si>
    <t>Master of Finance</t>
  </si>
  <si>
    <t>52000</t>
  </si>
  <si>
    <t>https://www.wlu.ca/programs/business-and-economics/graduate/master-of-finance/index.html</t>
  </si>
  <si>
    <t>MSc Management Analytics</t>
  </si>
  <si>
    <t>54000</t>
  </si>
  <si>
    <t>23000</t>
  </si>
  <si>
    <t>60</t>
  </si>
  <si>
    <t>75000</t>
  </si>
  <si>
    <t>https://www.wlu.ca/programs/business-and-economics/graduate/msc-management-analytics/index.html</t>
  </si>
  <si>
    <t>Carleton University</t>
  </si>
  <si>
    <t>601-650</t>
  </si>
  <si>
    <t>63000</t>
  </si>
  <si>
    <t>20000</t>
  </si>
  <si>
    <t>70000</t>
  </si>
  <si>
    <t>https://sprott.carleton.ca/macc/</t>
  </si>
  <si>
    <t>https://www.topuniversities.com/universities/carleton-university</t>
  </si>
  <si>
    <t>https://sprott.carleton.ca/macc/tuition-fees/</t>
  </si>
  <si>
    <t>https://housing.carleton.ca/future-residents/costs/</t>
  </si>
  <si>
    <t>https://oirp.carleton.ca/graduate-placement/tables/prov-table-by-rpgm.pdf</t>
  </si>
  <si>
    <t>Master of Applied Business Analytics (TIM)</t>
  </si>
  <si>
    <t>22000</t>
  </si>
  <si>
    <t>150</t>
  </si>
  <si>
    <t>https://graduate.carleton.ca/program/technology-innovation-management-masters-programs/</t>
  </si>
  <si>
    <t>https://graduate.carleton.ca/tuition-fees/</t>
  </si>
  <si>
    <t>Digital Transformation &amp; Entrepreneurship (TIM)</t>
  </si>
  <si>
    <t>https://graduate.carleton.ca/cu-programs/digital-transformation-entrepreneurship-masters-programs/</t>
  </si>
  <si>
    <t>MSc Economics + MBA</t>
  </si>
  <si>
    <t>60000</t>
  </si>
  <si>
    <t>25000</t>
  </si>
  <si>
    <t>https://graduate.carleton.ca/program/economics-masters-programs/</t>
  </si>
  <si>
    <t>Technology Entrepreneurship (TIM)</t>
  </si>
  <si>
    <t>https://sprott.carleton.ca/mfin/</t>
  </si>
  <si>
    <t>https://sprott.carleton.ca/mfin/tuition-fees/</t>
  </si>
  <si>
    <t>90000</t>
  </si>
  <si>
    <t>https://graduate.carleton.ca/program/mba-business-administration-masters-programs/</t>
  </si>
  <si>
    <t>https://sprott.carleton.ca/mba/tuition-fees/</t>
  </si>
  <si>
    <t>Global MBA (Shanghai)</t>
  </si>
  <si>
    <t>https://graduate.carleton.ca/programs/masters-programs/</t>
  </si>
  <si>
    <t>10000</t>
  </si>
  <si>
    <t>65000</t>
  </si>
  <si>
    <t>https://sprott.carleton.ca/msc-in-management/</t>
  </si>
  <si>
    <t>https://sprott.carleton.ca/msc-in-management/tuition-fees/</t>
  </si>
  <si>
    <t>Technology Innovation Management (TIM)</t>
  </si>
  <si>
    <t>University of Ottawa</t>
  </si>
  <si>
    <t>203</t>
  </si>
  <si>
    <t>68000</t>
  </si>
  <si>
    <t>30000</t>
  </si>
  <si>
    <t>https://telfer.uottawa.ca/en/mba/tuition-fees/</t>
  </si>
  <si>
    <t>https://www.uottawa.ca/current-students/cost-living</t>
  </si>
  <si>
    <t>https://www.uottawa.ca/about-us/administration-services/institutional-research-planning/surveys</t>
  </si>
  <si>
    <t>32000</t>
  </si>
  <si>
    <t>15000</t>
  </si>
  <si>
    <t>https://telfer.uottawa.ca/en/mscmgt/</t>
  </si>
  <si>
    <t>https://www.topuniversities.com/universities/university-ottawa</t>
  </si>
  <si>
    <t>https://telfer.uottawa.ca/en/mscmgt/tuition-fees/</t>
  </si>
  <si>
    <t>Ontario Tech University</t>
  </si>
  <si>
    <t>1401-1500</t>
  </si>
  <si>
    <t>Master of Business Analytics and Artificial Intelligence (MBAI)</t>
  </si>
  <si>
    <t>https://ontariotechu.ca/programs/graduate/business-and-information-technology/master-of-business-analytics-and-ai/index.php</t>
  </si>
  <si>
    <t>https://www.topuniversities.com/universities/ontario-tech-university</t>
  </si>
  <si>
    <t>https://ontariotechu.ca/current-students/campus-services/housing/costs.php</t>
  </si>
  <si>
    <t>https://sites.ontariotechu.ca/oira/accountability/cudo/academic-plans/k2---key-performance-indicators,-employment-rate-of-2016-graduates-in-undergraduate-programs.php</t>
  </si>
  <si>
    <t>Master of Financial Data Analytics (MFDA)</t>
  </si>
  <si>
    <t>https://businessandit.ontariotechu.ca/graduate/master-of-financial-data-analytics-mfda/index.php</t>
  </si>
  <si>
    <t>Lakehead University</t>
  </si>
  <si>
    <t>951-1000</t>
  </si>
  <si>
    <t>40290</t>
  </si>
  <si>
    <t>18557</t>
  </si>
  <si>
    <t>97.40%</t>
  </si>
  <si>
    <t>https://www.lakeheadu.ca/programs/graduate/programs/masters/business-administration</t>
  </si>
  <si>
    <t>https://www.topuniversities.com/universities/lakehead-university</t>
  </si>
  <si>
    <t>https://www.lakeheadu.ca/programs/graduate/programs/masters/business-administration/tuition</t>
  </si>
  <si>
    <t>https://www.lakeheadu.ca/future-students/financing-budgeting/costs</t>
  </si>
  <si>
    <t>https://www.lakeheadu.ca/faculty-and-staff/ppm/student-surveys/graduate-employment</t>
  </si>
  <si>
    <t>MBA in advanced studies</t>
  </si>
  <si>
    <t>52009</t>
  </si>
  <si>
    <t>23506</t>
  </si>
  <si>
    <t>https://www.lakeheadu.ca/programs/departments/business/programs/graduate-programs/mba</t>
  </si>
  <si>
    <t>https://www.lakeheadu.ca/programs/departments/business/programs/graduate-programs/mba/tuition</t>
  </si>
  <si>
    <t>29000</t>
  </si>
  <si>
    <t>13475</t>
  </si>
  <si>
    <t>https://www.lakeheadu.ca/programs/graduate/programs/masters/business-management</t>
  </si>
  <si>
    <t>https://www.lakeheadu.ca/programs/graduate/programs/masters/business-management/tuition</t>
  </si>
  <si>
    <t>Laurentian University</t>
  </si>
  <si>
    <t>42536</t>
  </si>
  <si>
    <t>18500</t>
  </si>
  <si>
    <t>97.50%</t>
  </si>
  <si>
    <t>https://laurentian.ca/academics/program/business-administration-mba</t>
  </si>
  <si>
    <t>https://www.topuniversities.com/universities/laurentian-university</t>
  </si>
  <si>
    <t>https://laurentian.ca/academics/international/why-laurentian</t>
  </si>
  <si>
    <t>University of Waterloo</t>
  </si>
  <si>
    <t>112</t>
  </si>
  <si>
    <t>Master of Business, Entrepreneurship and Technology (MBET)</t>
  </si>
  <si>
    <t>28000</t>
  </si>
  <si>
    <t>96.50%</t>
  </si>
  <si>
    <t>https://uwaterloo.ca/conrad-school-entrepreneurship-business/graduate-students/master-business-entrepreneurship-and-technology</t>
  </si>
  <si>
    <t>https://www.topuniversities.com/universities/university-waterloo</t>
  </si>
  <si>
    <t>https://uwaterloo.ca/future-students/financing/costs</t>
  </si>
  <si>
    <t>https://uwaterloo.ca/institutional-analysis-planning/key-performance-indicators-university-waterloo-2024</t>
  </si>
  <si>
    <t>Master of Quantitative Finance</t>
  </si>
  <si>
    <t>120000</t>
  </si>
  <si>
    <t>https://uwaterloo.ca/statistics-and-actuarial-science/programs/graduate-programs/master-quantitative-finance</t>
  </si>
  <si>
    <t>42000</t>
  </si>
  <si>
    <t>18000</t>
  </si>
  <si>
    <t>110</t>
  </si>
  <si>
    <t>https://uwaterloo.ca/school-of-accounting-and-finance/master-accounting-macc</t>
  </si>
  <si>
    <t>Master of Management Sciences (MMSc)</t>
  </si>
  <si>
    <t>46000</t>
  </si>
  <si>
    <t>https://uwaterloo.ca/management-science-engineering/future-graduate-students/master-management-sciences-mmsc</t>
  </si>
  <si>
    <t>MA Economics</t>
  </si>
  <si>
    <t>34000</t>
  </si>
  <si>
    <t>14000</t>
  </si>
  <si>
    <t>https://uwaterloo.ca/economics/graduate/ma-program</t>
  </si>
  <si>
    <t>Management Science (MMSc)</t>
  </si>
  <si>
    <t>50000</t>
  </si>
  <si>
    <t>21500</t>
  </si>
  <si>
    <t>Management Science (MMSc) Co-op</t>
  </si>
  <si>
    <t>Management Science (Health Technologies) (MMSc)</t>
  </si>
  <si>
    <t>https://uwaterloo.ca/future-graduate-students/programs/by-faculty/engineering/management-science-health-technologies-co-op-master</t>
  </si>
  <si>
    <t>McMaster University</t>
  </si>
  <si>
    <t>189</t>
  </si>
  <si>
    <t>107300</t>
  </si>
  <si>
    <t>53000</t>
  </si>
  <si>
    <t>https://gs.mcmaster.ca/program/business-administration-mba/</t>
  </si>
  <si>
    <t>https://www.topuniversities.com/universities/mcmaster-university</t>
  </si>
  <si>
    <t>https://future.mcmaster.ca/finances/</t>
  </si>
  <si>
    <t>https://ira.mcmaster.ca/app/uploads/2025/05/KPI-for-OUGS_2023.pdf</t>
  </si>
  <si>
    <t>114200</t>
  </si>
  <si>
    <t>59200</t>
  </si>
  <si>
    <t>https://mbarecruit.degroote.mcmaster.ca/program/mba-programs/full-time-mba-with-co-op/</t>
  </si>
  <si>
    <t>MBA (Accelerated)</t>
  </si>
  <si>
    <t>26000</t>
  </si>
  <si>
    <t>https://mbarecruit.degroote.mcmaster.ca/program/mba-programs/</t>
  </si>
  <si>
    <t>University of Niagara Falls Canada</t>
  </si>
  <si>
    <t>Master of Management</t>
  </si>
  <si>
    <t>42750</t>
  </si>
  <si>
    <t>18</t>
  </si>
  <si>
    <t>https://www.unfc.ca/academics/graduate/master-of-management</t>
  </si>
  <si>
    <t>https://www.topuniversities.com/universities/university-niagara-falls-canada</t>
  </si>
  <si>
    <t>https://www.unfc.ca/academics/graduate</t>
  </si>
  <si>
    <t>https://www.niagara.edu/wp-content/uploads/2024/12/Employment-and-Education-Outcomes-FA24.pdf</t>
  </si>
  <si>
    <t>Master of Data Analytics</t>
  </si>
  <si>
    <t>45000</t>
  </si>
  <si>
    <t>https://www.unfc.ca/academics/graduate/master-of-data-analytics</t>
  </si>
  <si>
    <t>Master of Health Care Management</t>
  </si>
  <si>
    <t>43000</t>
  </si>
  <si>
    <t>https://www.unfc.ca/academics/graduate/master-of-health-care-management</t>
  </si>
  <si>
    <t>Master of Computer Science in Applied Artificial Intelligence</t>
  </si>
  <si>
    <t>https://www.unfc.ca/academics/graduate/master-of-computer-science-in-applied-artificial-intelligence</t>
  </si>
  <si>
    <t>Université Laval</t>
  </si>
  <si>
    <t>423</t>
  </si>
  <si>
    <t>17000</t>
  </si>
  <si>
    <t>96%</t>
  </si>
  <si>
    <t>https://www.fsa.ulaval.ca/en/program/M-ADM_GLB/</t>
  </si>
  <si>
    <t>https://www.topuniversities.com/universities/universite-laval</t>
  </si>
  <si>
    <t>https://www.ulaval.ca/en/studies/tuition-fees-and-other-expenses</t>
  </si>
  <si>
    <t>https://www.esei.ulaval.ca/en/future-students/careers-international-focus</t>
  </si>
  <si>
    <t>Université du Québec à Montréal (UQAM)</t>
  </si>
  <si>
    <t>38000</t>
  </si>
  <si>
    <t>https://esg.uqam.ca/en/programs-en/</t>
  </si>
  <si>
    <t>https://www.topuniversities.com/universities/universite-du-quebec-montreal</t>
  </si>
  <si>
    <t>https://etudier.uqam.ca/couts-etudes</t>
  </si>
  <si>
    <t>https://statistique.quebec.ca/en/fichier/emploi-remuneration-diplomes-universitaires-depuis-2006.pdf</t>
  </si>
  <si>
    <t>Université du Québec à Trois-Rivières (UQTR)</t>
  </si>
  <si>
    <t>36000</t>
  </si>
  <si>
    <t>72000</t>
  </si>
  <si>
    <t>https://oraprdnt.uqtr.uquebec.ca/portail/triw082.afficher?owa_cd_pgm=3457</t>
  </si>
  <si>
    <t>https://www.timeshighereducation.com/world-university-rankings/universite-du-quebec-trois-rivieres-uqtr</t>
  </si>
  <si>
    <t>https://www.uqtr.ca/english/</t>
  </si>
  <si>
    <t>https://www.education.gouv.qc.ca/fileadmin/site_web/documents/enseignement-superieur/universitaire/22-423-03A_brochure_relance_univ_2021.pdf</t>
  </si>
  <si>
    <t>Université du Québec à Chicoutimi (UQAC)</t>
  </si>
  <si>
    <t>35000</t>
  </si>
  <si>
    <t>https://www.uqac.ca/programme/3016-maitrise-en-administration-des-affaires/</t>
  </si>
  <si>
    <t>https://www.timeshighereducation.com/world-university-rankings/universite-du-quebec</t>
  </si>
  <si>
    <t>https://www.uqac.ca/english/</t>
  </si>
  <si>
    <t>Quebec Graduate Survey (average for master's graduates)</t>
  </si>
  <si>
    <t>Université du Québec en Outaouais (UQO)</t>
  </si>
  <si>
    <t>https://uqo.ca/dep/sciences-administratives/mba-maitrise-administration-affaires</t>
  </si>
  <si>
    <t>https://www.timeshighereducation.com/world-university-rankings/universite-du-quebec-en-outaouais-uqo</t>
  </si>
  <si>
    <t>https://uqo.ca/english/</t>
  </si>
  <si>
    <t>Quebec Graduate Survey (Relance universitaire)</t>
  </si>
  <si>
    <t>Master of Financial Economics</t>
  </si>
  <si>
    <t>12000</t>
  </si>
  <si>
    <t>https://uqo.ca/dep/sciences-administratives/maitrise-economie-financiere</t>
  </si>
  <si>
    <t>Université du Québec à Rimouski (UQAR)</t>
  </si>
  <si>
    <t>13000</t>
  </si>
  <si>
    <t>https://www.uqar.ca/programmes-domaines-detudes/maitrise-en-administration-des-affaires-mba-pour-cadres/</t>
  </si>
  <si>
    <t>https://www.timeshighereducation.com/world-university-rankings/universite-du-quebec-rimouski</t>
  </si>
  <si>
    <t>https://www.uqar.ca/english/</t>
  </si>
  <si>
    <t>https://www.standyou.com/study-abroad/university-of-quebec-rimouski-campus-canada/</t>
  </si>
  <si>
    <t>Université de Sherbrooke</t>
  </si>
  <si>
    <t>751-800</t>
  </si>
  <si>
    <t>98%</t>
  </si>
  <si>
    <t>https://www.usherbrooke.ca/ecole-gestion/programme/maitrise-administration-affaires</t>
  </si>
  <si>
    <t>https://www.topuniversities.com/universities/universite-de-sherbrooke</t>
  </si>
  <si>
    <t>https://www.usherbrooke.ca/admission/couts</t>
  </si>
  <si>
    <t>https://www.usherbrooke.ca/actualites/nouvelles/communaute/details/51337</t>
  </si>
  <si>
    <t>MBA (Executive)</t>
  </si>
  <si>
    <t>https://www.usherbrooke.ca/centrelaurentbeaudoin/formation-executive/emba</t>
  </si>
  <si>
    <t>MBA (LLB-MBA)</t>
  </si>
  <si>
    <t>48</t>
  </si>
  <si>
    <t>https://www.usherbrooke.ca/droit/programmes/1er-cycle/droit-mba</t>
  </si>
  <si>
    <t>University of Calgary</t>
  </si>
  <si>
    <t>Alberta</t>
  </si>
  <si>
    <t>211</t>
  </si>
  <si>
    <t>MBA (Full-time)</t>
  </si>
  <si>
    <t>117000</t>
  </si>
  <si>
    <t>https://haskayne.ucalgary.ca/future-students/mba-programs/full-time-mba/tuition-funding</t>
  </si>
  <si>
    <t>https://www.topuniversities.com/universities/university-calgary</t>
  </si>
  <si>
    <t>https://www.numbeo.com/cost-of-living/in/Calgary</t>
  </si>
  <si>
    <t>https://www.ucalgary.ca/future-students/undergraduate/requirements/international</t>
  </si>
  <si>
    <t>https://haskayne.ucalgary.ca/mba/careers</t>
  </si>
  <si>
    <t>48096</t>
  </si>
  <si>
    <t>28832</t>
  </si>
  <si>
    <t>https://haskayne.ucalgary.ca/future-students/mba-programs/accelerated-mba/tuition-funding ; https://haskayne.ucalgary.ca/future-students/mba-programs/accelerated-mba</t>
  </si>
  <si>
    <t>Master of Management (MMgmt)</t>
  </si>
  <si>
    <t>62065</t>
  </si>
  <si>
    <t>29408</t>
  </si>
  <si>
    <t>https://haskayne.ucalgary.ca/future-students/master-management; https://haskayne.ucalgary.ca/future-students/master-management/financing</t>
  </si>
  <si>
    <t>75162</t>
  </si>
  <si>
    <t>43196</t>
  </si>
  <si>
    <t>https://haskayne.ucalgary.ca/future-students/mfin/tuition-scholarships</t>
  </si>
  <si>
    <t>University of Alberta</t>
  </si>
  <si>
    <t>94</t>
  </si>
  <si>
    <t>44421</t>
  </si>
  <si>
    <t>47</t>
  </si>
  <si>
    <t>https://www.ualberta.ca/en/business/programs/mba/full-time/index.html ; https://www.ualberta.ca/en/business/programs/mba/full-time/financial-investment.html</t>
  </si>
  <si>
    <t>https://www.topuniversities.com/universities/university-alberta</t>
  </si>
  <si>
    <t>https://www.ualberta.ca/business/programs/mba/admissions/tuition-and-fees/index.html</t>
  </si>
  <si>
    <t>https://www.numbeo.com/cost-of-living/in/Edmonton</t>
  </si>
  <si>
    <t>https://www.ualberta.ca/international/international-student-services/index.html</t>
  </si>
  <si>
    <t>https://www.ualberta.ca/business/programs/mba/careers/index.html</t>
  </si>
  <si>
    <t>60934</t>
  </si>
  <si>
    <t>42904</t>
  </si>
  <si>
    <t>https://www.ualberta.ca/en/business/programs/master-of-accounting/index.html ; https://www.ualberta.ca/en/business/programs/master-of-accounting/financial-investment.html</t>
  </si>
  <si>
    <t>89%</t>
  </si>
  <si>
    <t>https://www.ualberta.ca/en/business/programs/msc; https://calendar.ualberta.ca/content.php?catoid=56&amp;navoid=17377</t>
  </si>
  <si>
    <t>University of Manitoba</t>
  </si>
  <si>
    <t>Manitoba</t>
  </si>
  <si>
    <t>643</t>
  </si>
  <si>
    <t>57800</t>
  </si>
  <si>
    <t>42550</t>
  </si>
  <si>
    <t>https://umanitoba.ca/explore/programs-of-study/business-administration-mba ; https://umanitoba.ca/asper/sites/asper/files/2025-06/asper-employmentreport-2024-web.pdf</t>
  </si>
  <si>
    <t>https://www.topuniversities.com/universities/university-manitoba</t>
  </si>
  <si>
    <t>https://umanitoba.ca/asper/programs/master-of-business-administration-mba/tuition-and-financial-aid</t>
  </si>
  <si>
    <t>https://www.numbeo.com/cost-of-living/in/Winnipeg</t>
  </si>
  <si>
    <t>https://umanitoba.ca/admissions/international</t>
  </si>
  <si>
    <t>https://umanitoba.ca/asper/student-experience/career-development-centre</t>
  </si>
  <si>
    <t>43300</t>
  </si>
  <si>
    <t>33800</t>
  </si>
  <si>
    <t>https://umanitoba.ca/asper/programs/master-of-finance; https://umanitoba.ca/graduate-studies/admissions/programs-of-study/finance-mfin</t>
  </si>
  <si>
    <t>https://umanitoba.ca/graduate-studies/admissions/programs-of-study/management-msc ;https://umanitoba.ca/registrar/tuition-fees/graduate#masters-program-tuition-rates</t>
  </si>
  <si>
    <t>Dalhousie University</t>
  </si>
  <si>
    <t>Nova Scotia</t>
  </si>
  <si>
    <t>283</t>
  </si>
  <si>
    <t>MBA (Corporate Residency MBA)</t>
  </si>
  <si>
    <t>56958</t>
  </si>
  <si>
    <t>28479</t>
  </si>
  <si>
    <t>19000</t>
  </si>
  <si>
    <t>22</t>
  </si>
  <si>
    <t>97%</t>
  </si>
  <si>
    <t>https://www.dal.ca/study/programs/graduate-professional/business-administration-mba-corporate-residency.html? ; https://cdn.dal.ca/content/dam/dalhousie/pdf/admissions/MoneyMatters/Grad%202025-2026%20%28002%29.pdf</t>
  </si>
  <si>
    <t>https://www.topuniversities.com/universities/dalhousie-university</t>
  </si>
  <si>
    <t>https://www.dal.ca/faculty/management/mba/tuition-fees.html</t>
  </si>
  <si>
    <t>https://www.numbeo.com/cost-of-living/in/Halifax</t>
  </si>
  <si>
    <t>https://www.dal.ca/campus_life/international-centre.html</t>
  </si>
  <si>
    <t>https://www.dal.ca/faculty/management/mba/careers.html</t>
  </si>
  <si>
    <t>Master of Science in Business (MSc Business)</t>
  </si>
  <si>
    <t>42600</t>
  </si>
  <si>
    <t>18700</t>
  </si>
  <si>
    <t xml:space="preserve">https://www.dal.ca/study/programs/graduate-professional/business-msc.html ; </t>
  </si>
  <si>
    <t>Saint Mary's University</t>
  </si>
  <si>
    <t>49500</t>
  </si>
  <si>
    <t>34500</t>
  </si>
  <si>
    <t>https://www.smu.ca/sobey/mba/</t>
  </si>
  <si>
    <t>https://www.topuniversities.com/universities/saint-marys-university</t>
  </si>
  <si>
    <t xml:space="preserve">https://www.smu.ca/sobey/mba/tuitionfees/ </t>
  </si>
  <si>
    <t>51500</t>
  </si>
  <si>
    <t>41500</t>
  </si>
  <si>
    <t>https://www.smu.ca/sobey/mfin/tuitionfees/ ; https://www.smu.ca/sobey/mfin/</t>
  </si>
  <si>
    <t>https://www.smu.ca/sobey/mba/tuitionfees/</t>
  </si>
  <si>
    <t>https://www.smu.ca/international/welcome.html</t>
  </si>
  <si>
    <t>https://www.smu.ca/sobey/career-services.html</t>
  </si>
  <si>
    <t>MSc Business Administration</t>
  </si>
  <si>
    <t>https://www.smu.ca/sobey/mfin/tuitionfees/ ; https://www.smu.ca/sobey/mban/</t>
  </si>
  <si>
    <t>University of New Brunswick</t>
  </si>
  <si>
    <t>New Brunswick</t>
  </si>
  <si>
    <t>622</t>
  </si>
  <si>
    <t>MBA (Saint John)</t>
  </si>
  <si>
    <t>35708</t>
  </si>
  <si>
    <t>26788</t>
  </si>
  <si>
    <t>18,000</t>
  </si>
  <si>
    <t>https://www.unb.ca/finance/_assets/documents/financial-services/saint-john-tuition/grad/all-other/sj_gr_int_mba_ft.pdf ; https://www.unb.ca/gradstudies/programs/business-sj.html ; https://www.accessmba.com/program/university-of-new-brunswick-saint-john-campus/3538</t>
  </si>
  <si>
    <t>https://www.topuniversities.com/universities/university-new-brunswick</t>
  </si>
  <si>
    <t>https://www.unb.ca/fredericton/management/mba/admissions/tuition.html</t>
  </si>
  <si>
    <t>https://www.numbeo.com/cost-of-living/in/Fredericton</t>
  </si>
  <si>
    <t>https://www.unb.ca/international/</t>
  </si>
  <si>
    <t>https://www.unb.ca/fredericton/management/mba/career.html</t>
  </si>
  <si>
    <t>MBA (Fredericton)</t>
  </si>
  <si>
    <t>103500</t>
  </si>
  <si>
    <t>https://www.unb.ca/finance/_assets/documents/financial-services/fredericton-tuition/grad/course-based/fred_gr_cb_mba_srm_ccgm_ft.pdf ; https://www.unb.ca/fredericton/management/grad/mba/index.html ; https://www.topuniversities.com/university-new-brunswick/master-business-administration</t>
  </si>
  <si>
    <t>Université de Montréal (HEC Montréal)</t>
  </si>
  <si>
    <t>168</t>
  </si>
  <si>
    <t>MBA (Full?time)</t>
  </si>
  <si>
    <t>22,000</t>
  </si>
  <si>
    <t>100%</t>
  </si>
  <si>
    <t>75,133</t>
  </si>
  <si>
    <t>https://www.metromba.com/school/hec-montreal/hec-montreal-full-time-mba/ ; https://www.hec.ca/en/students/tuition-fees/pdf/tuition-fees-mba.pdf</t>
  </si>
  <si>
    <t>https://www.topuniversities.com/universities/universite-de-montreal</t>
  </si>
  <si>
    <t>https://www.hec.ca/en/programs/masters/mba/tuition_fees.html</t>
  </si>
  <si>
    <t>https://www.numbeo.com/cost-of-living/in/Montreal</t>
  </si>
  <si>
    <t>https://www.hec.ca/en/international/</t>
  </si>
  <si>
    <t>https://www.hec.ca/en/career-management-services/</t>
  </si>
  <si>
    <t xml:space="preserve">MSc </t>
  </si>
  <si>
    <t>32800</t>
  </si>
  <si>
    <t>16200</t>
  </si>
  <si>
    <t>78625</t>
  </si>
  <si>
    <t>https://www.hec.ca/en/programs/masters/master-finance/</t>
  </si>
  <si>
    <t>University of Saskatchewan</t>
  </si>
  <si>
    <t>Saskatchewan</t>
  </si>
  <si>
    <t>378</t>
  </si>
  <si>
    <t>https://grad.usask.ca/programs/business-administration.php ;https://edwards.usask.ca/mba/?</t>
  </si>
  <si>
    <t>https://www.topuniversities.com/universities/university-regina</t>
  </si>
  <si>
    <t>https://www.uregina.ca/business/programs/graduate/mba/tuition.html</t>
  </si>
  <si>
    <t>https://www.numbeo.com/cost-of-living/in/Regina</t>
  </si>
  <si>
    <t>https://www.uregina.ca/international/</t>
  </si>
  <si>
    <t>https://www.uregina.ca/business/programs/graduate/mba/careers.html</t>
  </si>
  <si>
    <t>Master of Science in Management (MSc Mgmt)</t>
  </si>
  <si>
    <t>33750</t>
  </si>
  <si>
    <t>https://www.edwards.usask.ca/programs/mscmanagement/ ; news.usask.ca</t>
  </si>
  <si>
    <t>https://www.topuniversities.com/universities/memorial-university-newfoundland</t>
  </si>
  <si>
    <t>https://www.mun.ca/become/graduate/tuition/</t>
  </si>
  <si>
    <t>https://www.numbeo.com/cost-of-living/in/St-Johns</t>
  </si>
  <si>
    <t>https://www.mun.ca/international/</t>
  </si>
  <si>
    <t>https://www.mun.ca/business/programs/graduate/careers/</t>
  </si>
  <si>
    <t>University of Regina</t>
  </si>
  <si>
    <t>1001-1200</t>
  </si>
  <si>
    <t>MBA (Levene MBA  General Mgmt)</t>
  </si>
  <si>
    <t>44000</t>
  </si>
  <si>
    <t>37375</t>
  </si>
  <si>
    <t>https://www.uregina.ca/academics/programs/bus-admin/levene/master-business-administration.html ; https://www.uregina.ca/financial-services/assets/pdf/fee-schedules/202620-grad-studies-tuition-schedule-feb-2.pdf ; https://collegedunia.com/canada/college/97-university-of-regina-regina</t>
  </si>
  <si>
    <t>Master of Human Resource Management (MHRM)</t>
  </si>
  <si>
    <t>28755</t>
  </si>
  <si>
    <t>https://www.topuniversities.com/universities/simon-fraser-university</t>
  </si>
  <si>
    <t>https://beedie.sfu.ca/programs/mba/tuition</t>
  </si>
  <si>
    <t>https://www.numbeo.com/cost-of-living/in/Vancouver</t>
  </si>
  <si>
    <t>https://www.sfu.ca/students/international.html</t>
  </si>
  <si>
    <t>https://beedie.sfu.ca/programs/mba/careers</t>
  </si>
  <si>
    <t>MSc in Organization Studies</t>
  </si>
  <si>
    <t>31630</t>
  </si>
  <si>
    <t>Memorial University of Newfoundland</t>
  </si>
  <si>
    <t>Newfoundland &amp; Labrador</t>
  </si>
  <si>
    <t>660</t>
  </si>
  <si>
    <t>23261</t>
  </si>
  <si>
    <t>https://www.mun.ca/business/media/production/memorial/academic/faculty-of-business-administration/media-library/graduate/mba/MBA-tuition-fees-Intl-2025-2026.pdf/ ; https://www.find-mba.com/schools/americas/canada/memorial-newfoundland</t>
  </si>
  <si>
    <t>https://www.topuniversities.com/universities/university-victoria</t>
  </si>
  <si>
    <t>https://www.uvic.ca/gustavson/mba/admissions/tuition/index.php</t>
  </si>
  <si>
    <t>https://www.numbeo.com/cost-of-living/in/Victoria</t>
  </si>
  <si>
    <t>https://www.uvic.ca/international/</t>
  </si>
  <si>
    <t>https://www.uvic.ca/gustavson/mba/careers/index.php</t>
  </si>
  <si>
    <t>10556</t>
  </si>
  <si>
    <t>16694</t>
  </si>
  <si>
    <t>https://www.mun.ca/become/graduate/programs-and-courses/management/</t>
  </si>
  <si>
    <t>Simon Fraser University</t>
  </si>
  <si>
    <t>British Columbia</t>
  </si>
  <si>
    <t>308</t>
  </si>
  <si>
    <t>MBA (Full?Time)</t>
  </si>
  <si>
    <t>20,000</t>
  </si>
  <si>
    <t>https://www.sfu.ca/beedie/programs/graduate/full-time-mba.html</t>
  </si>
  <si>
    <t>https://www.sfu.ca/beedie/programs/graduate/full-time-mba/cost-financing.html</t>
  </si>
  <si>
    <t>https://www.designatedlearninginstitution.ca/school-details/Simon%20Fraser%20University</t>
  </si>
  <si>
    <t>https://www.sfu.ca/beedie/programs/graduate/full-time-mba/career-advantage</t>
  </si>
  <si>
    <t>MSc in Finance</t>
  </si>
  <si>
    <t>https://www.sfu.ca/beedie/programs/graduate/master-of-science-in-finance.html</t>
  </si>
  <si>
    <t>https://www.sfu.ca/beedie/programs/graduate/master-of-science-in-finance/cost-financing.html</t>
  </si>
  <si>
    <t>https://www.sfu.ca/beedie/programs/graduate/master-of-science-in-finance/career-advantage</t>
  </si>
  <si>
    <t>University of Victoria</t>
  </si>
  <si>
    <t>358</t>
  </si>
  <si>
    <t>MBA (Sustainable Innovation)</t>
  </si>
  <si>
    <t>https://www.uvic.ca/gustavson/mba/index.php</t>
  </si>
  <si>
    <t>https://www.uvic.ca/graduate/programs/graduate-programs/credential-pages/business-cred/business-administration-mba.php</t>
  </si>
  <si>
    <t>https://www.uvic.ca/international/home/cost-of-living/index.php</t>
  </si>
  <si>
    <t>https://www.designatedlearninginstitution.ca/school-details/University%20of%20Victoria</t>
  </si>
  <si>
    <t>Master of Global Business (MGB)</t>
  </si>
  <si>
    <t>44460</t>
  </si>
  <si>
    <t>27705</t>
  </si>
  <si>
    <t>https://www.uvic.ca/mgb/index.php</t>
  </si>
  <si>
    <t>https://www.uvic.ca/mgb/tuition/index.php</t>
  </si>
  <si>
    <t>https://www.uvic.ca/gustavson/mgb/careers/index.php</t>
  </si>
  <si>
    <t>Master in Management (MM)</t>
  </si>
  <si>
    <t>40590</t>
  </si>
  <si>
    <t>30849</t>
  </si>
  <si>
    <t>80%</t>
  </si>
  <si>
    <t>https://www.uvic.ca/gustavson/mm/index.php</t>
  </si>
  <si>
    <t>https://www.uvic.ca/graduate/programs/graduate-programs/credential-pages/business-cred/management-mm.php</t>
  </si>
  <si>
    <t>https://www.uvic.ca/gustavson/mm/careers/index.php</t>
  </si>
  <si>
    <t>Column Name</t>
  </si>
  <si>
    <t>0 Means</t>
  </si>
  <si>
    <t>1 Means</t>
  </si>
  <si>
    <t>Co-op Not Available</t>
  </si>
  <si>
    <t>Co-op Available</t>
  </si>
  <si>
    <t>GMAT Not Required</t>
  </si>
  <si>
    <t>GMAT Required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</si>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</sst>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1"/>
      <color rgb="FF000000"/>
      <name val="Aptos Narrow"/>
    </font>
    <font>
      <u/>
      <sz val="11"/>
      <color theme="10"/>
      <name val="Calibri"/>
      <family val="2"/>
      <scheme val="minor"/>
    </font>
    <font>
      <u/>
      <sz val="11"/>
      <color rgb="FF467886"/>
      <name val="Aptos Narrow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3" fillId="2" borderId="1" xfId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center" vertical="top" wrapText="1"/>
    </xf>
    <xf numFmtId="1" fontId="1" fillId="3" borderId="1" xfId="0" applyNumberFormat="1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10" fontId="1" fillId="3" borderId="1" xfId="0" applyNumberFormat="1" applyFont="1" applyFill="1" applyBorder="1" applyAlignment="1">
      <alignment horizontal="center" vertical="top" wrapText="1"/>
    </xf>
    <xf numFmtId="2" fontId="1" fillId="3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1" fontId="0" fillId="0" borderId="1" xfId="0" applyNumberFormat="1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0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3" fillId="0" borderId="1" xfId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3" fontId="0" fillId="0" borderId="1" xfId="0" applyNumberFormat="1" applyBorder="1" applyAlignment="1">
      <alignment horizontal="center" vertical="top"/>
    </xf>
    <xf numFmtId="0" fontId="3" fillId="0" borderId="1" xfId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0" fontId="0" fillId="2" borderId="0" xfId="0" applyFill="1" applyAlignment="1">
      <alignment horizontal="center" vertical="top" wrapText="1"/>
    </xf>
    <xf numFmtId="2" fontId="0" fillId="2" borderId="1" xfId="0" applyNumberFormat="1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49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0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6" fillId="0" borderId="2" xfId="0" applyFont="1" applyBorder="1"/>
    <xf numFmtId="0" fontId="5" fillId="3" borderId="2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21" Type="http://schemas.openxmlformats.org/officeDocument/2006/relationships/hyperlink" Target="https://www.rotman.utoronto.ca/registrar/programs/specialized-programs/master-of-finance/tuition-scholarships" TargetMode="External"/><Relationship Id="rId42" Type="http://schemas.openxmlformats.org/officeDocument/2006/relationships/hyperlink" Target="https://www.topuniversities.com/world-university-rankings?countries=ca&amp;search=McGill%20University" TargetMode="External"/><Relationship Id="rId63" Type="http://schemas.openxmlformats.org/officeDocument/2006/relationships/hyperlink" Target="https://www.dal.ca/study/programs/graduate-professional/business-msc.html%20;" TargetMode="External"/><Relationship Id="rId84" Type="http://schemas.openxmlformats.org/officeDocument/2006/relationships/hyperlink" Target="https://www.uvic.ca/graduate/programs/graduate-programs/credential-pages/business-cred/global-business-mgb.php?residency=I%20;%20https://www.uvic.ca/gustavson/about/rankings-and-reputation/index.php" TargetMode="External"/><Relationship Id="rId138" Type="http://schemas.openxmlformats.org/officeDocument/2006/relationships/hyperlink" Target="https://schulich.yorku.ca/admissions/tuition-fees-costs/" TargetMode="External"/><Relationship Id="rId159" Type="http://schemas.openxmlformats.org/officeDocument/2006/relationships/hyperlink" Target="https://www.westernu.ca/international/" TargetMode="External"/><Relationship Id="rId170" Type="http://schemas.openxmlformats.org/officeDocument/2006/relationships/hyperlink" Target="https://www.ivey.uwo.ca/recruiter/employment-insights-reports/" TargetMode="External"/><Relationship Id="rId107" Type="http://schemas.openxmlformats.org/officeDocument/2006/relationships/hyperlink" Target="https://www.uwindsor.ca/business/319/master-business-administration" TargetMode="External"/><Relationship Id="rId11" Type="http://schemas.openxmlformats.org/officeDocument/2006/relationships/hyperlink" Target="https://www.sauder.ubc.ca/programs/masters-degrees/ubc-mm/career-outcomes" TargetMode="External"/><Relationship Id="rId32" Type="http://schemas.openxmlformats.org/officeDocument/2006/relationships/hyperlink" Target="https://www.rotman.utoronto.ca/programs/specialized-programs/master-of-management-analytics/career-impact/" TargetMode="External"/><Relationship Id="rId53" Type="http://schemas.openxmlformats.org/officeDocument/2006/relationships/hyperlink" Target="https://haskayne.ucalgary.ca/future-students/mba-programs/full-time-mba/tuition-funding" TargetMode="External"/><Relationship Id="rId74" Type="http://schemas.openxmlformats.org/officeDocument/2006/relationships/hyperlink" Target="https://www.hec.ca/en/programs/masters/master-finance/" TargetMode="External"/><Relationship Id="rId128" Type="http://schemas.openxmlformats.org/officeDocument/2006/relationships/hyperlink" Target="https://www.topuniversities.com/world-university-rankings?countries=ca&amp;search=Concordia%20University" TargetMode="External"/><Relationship Id="rId149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5" Type="http://schemas.openxmlformats.org/officeDocument/2006/relationships/hyperlink" Target="https://vancouver.housing.ubc.ca/applications/fees-payments/" TargetMode="External"/><Relationship Id="rId95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60" Type="http://schemas.openxmlformats.org/officeDocument/2006/relationships/hyperlink" Target="https://www.ivey.uwo.ca/amba/" TargetMode="External"/><Relationship Id="rId181" Type="http://schemas.openxmlformats.org/officeDocument/2006/relationships/hyperlink" Target="https://smith.queensu.ca/grad_studies/mmie/" TargetMode="External"/><Relationship Id="rId22" Type="http://schemas.openxmlformats.org/officeDocument/2006/relationships/hyperlink" Target="https://www.rotman.utoronto.ca/programs/specialized-programs/master-of-financial-risk-management" TargetMode="External"/><Relationship Id="rId43" Type="http://schemas.openxmlformats.org/officeDocument/2006/relationships/hyperlink" Target="https://www.topuniversities.com/world-university-rankings?countries=ca&amp;search=McGill%20University" TargetMode="External"/><Relationship Id="rId64" Type="http://schemas.openxmlformats.org/officeDocument/2006/relationships/hyperlink" Target="https://www.smu.ca/sobey/mba/" TargetMode="External"/><Relationship Id="rId118" Type="http://schemas.openxmlformats.org/officeDocument/2006/relationships/hyperlink" Target="https://www.topuniversities.com/world-university-rankings?countries=ca&amp;search=toronto%20metro" TargetMode="External"/><Relationship Id="rId139" Type="http://schemas.openxmlformats.org/officeDocument/2006/relationships/hyperlink" Target="https://schulich.yorku.ca/programs/mf/" TargetMode="External"/><Relationship Id="rId85" Type="http://schemas.openxmlformats.org/officeDocument/2006/relationships/hyperlink" Target="https://brocku.ca/programs/graduate/macc/" TargetMode="External"/><Relationship Id="rId150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71" Type="http://schemas.openxmlformats.org/officeDocument/2006/relationships/hyperlink" Target="https://www.ivey.uwo.ca/recruiter/employment-insights-reports/" TargetMode="External"/><Relationship Id="rId12" Type="http://schemas.openxmlformats.org/officeDocument/2006/relationships/hyperlink" Target="https://www.rotman.utoronto.ca/programs/master-of-management/" TargetMode="External"/><Relationship Id="rId33" Type="http://schemas.openxmlformats.org/officeDocument/2006/relationships/hyperlink" Target="https://www.rotman.utoronto.ca/programs/mba-programs/full-time-mba/careers/" TargetMode="External"/><Relationship Id="rId108" Type="http://schemas.openxmlformats.org/officeDocument/2006/relationships/hyperlink" Target="https://www.uwindsor.ca/business/366/master-management" TargetMode="External"/><Relationship Id="rId129" Type="http://schemas.openxmlformats.org/officeDocument/2006/relationships/hyperlink" Target="https://www.topuniversities.com/world-university-rankings?countries=ca&amp;search=Concordia%20University" TargetMode="External"/><Relationship Id="rId54" Type="http://schemas.openxmlformats.org/officeDocument/2006/relationships/hyperlink" Target="https://haskayne.ucalgary.ca/future-students/mba-programs/accelerated-mba/tuition-funding%20;%20https:/haskayne.ucalgary.ca/future-students/mba-programs/accelerated-mba" TargetMode="External"/><Relationship Id="rId75" Type="http://schemas.openxmlformats.org/officeDocument/2006/relationships/hyperlink" Target="https://grad.usask.ca/programs/business-administration.php%20;https:/edwards.usask.ca/mba/" TargetMode="External"/><Relationship Id="rId96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40" Type="http://schemas.openxmlformats.org/officeDocument/2006/relationships/hyperlink" Target="https://schulich.yorku.ca/admissions/tuition-fees-costs/" TargetMode="External"/><Relationship Id="rId161" Type="http://schemas.openxmlformats.org/officeDocument/2006/relationships/hyperlink" Target="https://www.topuniversities.com/universities/western-university" TargetMode="External"/><Relationship Id="rId182" Type="http://schemas.openxmlformats.org/officeDocument/2006/relationships/hyperlink" Target="https://www.topuniversities.com/universities/queens-university-canada" TargetMode="External"/><Relationship Id="rId6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23" Type="http://schemas.openxmlformats.org/officeDocument/2006/relationships/hyperlink" Target="https://www.rotman.utoronto.ca/programs/specialized-programs/master-of-financial-risk-management/tuition-scholarships" TargetMode="External"/><Relationship Id="rId119" Type="http://schemas.openxmlformats.org/officeDocument/2006/relationships/hyperlink" Target="https://www.topuniversities.com/world-university-rankings?countries=ca&amp;search=toronto%20metro" TargetMode="External"/><Relationship Id="rId44" Type="http://schemas.openxmlformats.org/officeDocument/2006/relationships/hyperlink" Target="https://www.topuniversities.com/world-university-rankings?countries=ca&amp;search=McGill%20University" TargetMode="External"/><Relationship Id="rId65" Type="http://schemas.openxmlformats.org/officeDocument/2006/relationships/hyperlink" Target="https://www.smu.ca/sobey/mfin/tuitionfees/%20;%20https:/www.smu.ca/sobey/mfin/" TargetMode="External"/><Relationship Id="rId86" Type="http://schemas.openxmlformats.org/officeDocument/2006/relationships/hyperlink" Target="https://brocku.ca/programs/graduate/mba/" TargetMode="External"/><Relationship Id="rId130" Type="http://schemas.openxmlformats.org/officeDocument/2006/relationships/hyperlink" Target="https://www.topuniversities.com/world-university-rankings?countries=ca&amp;search=Concordia%20University" TargetMode="External"/><Relationship Id="rId151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72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3" Type="http://schemas.openxmlformats.org/officeDocument/2006/relationships/hyperlink" Target="https://www.topuniversities.com/universities/university-toronto" TargetMode="External"/><Relationship Id="rId18" Type="http://schemas.openxmlformats.org/officeDocument/2006/relationships/hyperlink" Target="https://www.rotman.utoronto.ca/programs/mba-programs/full-time-mba" TargetMode="External"/><Relationship Id="rId39" Type="http://schemas.openxmlformats.org/officeDocument/2006/relationships/hyperlink" Target="https://www.mcgill.ca/desautels/programs/master-management-retailing-mmr" TargetMode="External"/><Relationship Id="rId109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34" Type="http://schemas.openxmlformats.org/officeDocument/2006/relationships/hyperlink" Target="https://www.uwindsor.ca/finance/fee-estimator" TargetMode="External"/><Relationship Id="rId50" Type="http://schemas.openxmlformats.org/officeDocument/2006/relationships/hyperlink" Target="https://www.lakeheadu.ca/faculty-and-staff/ppm/student-surveys/graduate-employment" TargetMode="External"/><Relationship Id="rId55" Type="http://schemas.openxmlformats.org/officeDocument/2006/relationships/hyperlink" Target="https://haskayne.ucalgary.ca/future-students/master-management;%20https:/haskayne.ucalgary.ca/future-students/master-management/financing" TargetMode="External"/><Relationship Id="rId76" Type="http://schemas.openxmlformats.org/officeDocument/2006/relationships/hyperlink" Target="https://www.edwards.usask.ca/programs/mscmanagement/%20;%20news.usask.ca" TargetMode="External"/><Relationship Id="rId97" Type="http://schemas.openxmlformats.org/officeDocument/2006/relationships/hyperlink" Target="https://www.trentu.ca/oipa/employment-rates?" TargetMode="External"/><Relationship Id="rId104" Type="http://schemas.openxmlformats.org/officeDocument/2006/relationships/hyperlink" Target="https://vancouver.housing.ubc.ca/applications/fees-payments/" TargetMode="External"/><Relationship Id="rId120" Type="http://schemas.openxmlformats.org/officeDocument/2006/relationships/hyperlink" Target="https://www.concordia.ca/jmsb/programs/graduate/msc-batm.html" TargetMode="External"/><Relationship Id="rId125" Type="http://schemas.openxmlformats.org/officeDocument/2006/relationships/hyperlink" Target="https://www.concordia.ca/jmsb/mba.html" TargetMode="External"/><Relationship Id="rId141" Type="http://schemas.openxmlformats.org/officeDocument/2006/relationships/hyperlink" Target="https://schulich.yorku.ca/programs/mmgt/" TargetMode="External"/><Relationship Id="rId146" Type="http://schemas.openxmlformats.org/officeDocument/2006/relationships/hyperlink" Target="https://schulich.yorku.ca/admissions/tuition-fees-costs/" TargetMode="External"/><Relationship Id="rId167" Type="http://schemas.openxmlformats.org/officeDocument/2006/relationships/hyperlink" Target="https://www.westernu.ca/international/" TargetMode="External"/><Relationship Id="rId188" Type="http://schemas.openxmlformats.org/officeDocument/2006/relationships/hyperlink" Target="https://www.queensu.ca/international/" TargetMode="External"/><Relationship Id="rId7" Type="http://schemas.openxmlformats.org/officeDocument/2006/relationships/hyperlink" Target="https://www.grad.ubc.ca/prospective-students/tuition-fees-cost-living/cost-living" TargetMode="External"/><Relationship Id="rId71" Type="http://schemas.openxmlformats.org/officeDocument/2006/relationships/hyperlink" Target="https://www.topuniversities.com/universities/saint-marys-university" TargetMode="External"/><Relationship Id="rId92" Type="http://schemas.openxmlformats.org/officeDocument/2006/relationships/hyperlink" Target="https://www.uoguelph.ca/lang/msc-management" TargetMode="External"/><Relationship Id="rId162" Type="http://schemas.openxmlformats.org/officeDocument/2006/relationships/hyperlink" Target="https://www.ivey.uwo.ca/amba/admissions/tuition/" TargetMode="External"/><Relationship Id="rId183" Type="http://schemas.openxmlformats.org/officeDocument/2006/relationships/hyperlink" Target="https://smith.queensu.ca/grad_studies/mmie/fees.php" TargetMode="External"/><Relationship Id="rId2" Type="http://schemas.openxmlformats.org/officeDocument/2006/relationships/hyperlink" Target="https://www.grad.ubc.ca/prospective-students/graduate-degree-programs/master-of-business-administration" TargetMode="External"/><Relationship Id="rId29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24" Type="http://schemas.openxmlformats.org/officeDocument/2006/relationships/hyperlink" Target="https://www.topuniversities.com/universities/university-toronto" TargetMode="External"/><Relationship Id="rId40" Type="http://schemas.openxmlformats.org/officeDocument/2006/relationships/hyperlink" Target="https://www.mcgill.ca/desautels/programs/mmf/admissions/tuition-and-financial-aid" TargetMode="External"/><Relationship Id="rId45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66" Type="http://schemas.openxmlformats.org/officeDocument/2006/relationships/hyperlink" Target="https://www.smu.ca/sobey/mfin/tuitionfees/%20;%20https:/www.smu.ca/sobey/mban/" TargetMode="External"/><Relationship Id="rId87" Type="http://schemas.openxmlformats.org/officeDocument/2006/relationships/hyperlink" Target="https://brocku.ca/programs/graduate/msc/" TargetMode="External"/><Relationship Id="rId110" Type="http://schemas.openxmlformats.org/officeDocument/2006/relationships/hyperlink" Target="https://www.topuniversities.com/world-university-rankings?countries=ca&amp;search=windsor" TargetMode="External"/><Relationship Id="rId115" Type="http://schemas.openxmlformats.org/officeDocument/2006/relationships/hyperlink" Target="https://www.torontomu.ca/tedrogersschool/master-science-management/admissions/tuition/" TargetMode="External"/><Relationship Id="rId131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36" Type="http://schemas.openxmlformats.org/officeDocument/2006/relationships/hyperlink" Target="https://schulich.yorku.ca/admissions/tuition-fees-costs/" TargetMode="External"/><Relationship Id="rId157" Type="http://schemas.openxmlformats.org/officeDocument/2006/relationships/hyperlink" Target="https://www.topuniversities.com/universities/western-university" TargetMode="External"/><Relationship Id="rId178" Type="http://schemas.openxmlformats.org/officeDocument/2006/relationships/hyperlink" Target="https://www.topuniversities.com/universities/queens-university-canada" TargetMode="External"/><Relationship Id="rId61" Type="http://schemas.openxmlformats.org/officeDocument/2006/relationships/hyperlink" Target="https://umanitoba.ca/graduate-studies/admissions/programs-of-study/management-msc%20;https:/umanitoba.ca/registrar/tuition-fees/graduate" TargetMode="External"/><Relationship Id="rId82" Type="http://schemas.openxmlformats.org/officeDocument/2006/relationships/hyperlink" Target="https://www.sfu.ca/beedie/programs/graduate/master-of-science-in-finance/overview.html%20;%20https:/www.sfu.ca/beedie/programs/graduate.html" TargetMode="External"/><Relationship Id="rId152" Type="http://schemas.openxmlformats.org/officeDocument/2006/relationships/hyperlink" Target="https://www.ivey.uwo.ca/mba/" TargetMode="External"/><Relationship Id="rId173" Type="http://schemas.openxmlformats.org/officeDocument/2006/relationships/hyperlink" Target="https://smith.queensu.ca/mba_programs/mba/" TargetMode="External"/><Relationship Id="rId19" Type="http://schemas.openxmlformats.org/officeDocument/2006/relationships/hyperlink" Target="https://www.rotman.utoronto.ca/programs/mba-programs/full-time-mba/tuition-scholarships" TargetMode="External"/><Relationship Id="rId14" Type="http://schemas.openxmlformats.org/officeDocument/2006/relationships/hyperlink" Target="https://www.rotman.utoronto.ca/programs/master-of-management/tuition-scholarships" TargetMode="External"/><Relationship Id="rId30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35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56" Type="http://schemas.openxmlformats.org/officeDocument/2006/relationships/hyperlink" Target="https://haskayne.ucalgary.ca/future-students/mfin/tuition-scholarships" TargetMode="External"/><Relationship Id="rId77" Type="http://schemas.openxmlformats.org/officeDocument/2006/relationships/hyperlink" Target="https://www.uregina.ca/academics/programs/bus-admin/levene/master-business-administration.html%20;%20https:/www.uregina.ca/financial-services/assets/pdf/fee-schedules/202620-grad-studies-tuition-schedule-feb-2.pdf%20;%20https:/collegedunia.com/canada/college/97-university-of-regina-regina" TargetMode="External"/><Relationship Id="rId100" Type="http://schemas.openxmlformats.org/officeDocument/2006/relationships/hyperlink" Target="https://oirp.carleton.ca/graduate-placement/tables/prov-table-by-rpgm.pdf" TargetMode="External"/><Relationship Id="rId105" Type="http://schemas.openxmlformats.org/officeDocument/2006/relationships/hyperlink" Target="https://www.grad.ubc.ca/prospective-students/tuition-fees-cost-living/cost-living" TargetMode="External"/><Relationship Id="rId126" Type="http://schemas.openxmlformats.org/officeDocument/2006/relationships/hyperlink" Target="https://www.topuniversities.com/world-university-rankings?countries=ca&amp;search=Concordia%20University" TargetMode="External"/><Relationship Id="rId147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68" Type="http://schemas.openxmlformats.org/officeDocument/2006/relationships/hyperlink" Target="https://www.ivey.uwo.ca/recruiter/employment-insights-reports/" TargetMode="External"/><Relationship Id="rId8" Type="http://schemas.openxmlformats.org/officeDocument/2006/relationships/hyperlink" Target="https://vancouver.housing.ubc.ca/applications/fees-payments/" TargetMode="External"/><Relationship Id="rId51" Type="http://schemas.openxmlformats.org/officeDocument/2006/relationships/hyperlink" Target="https://www.lakeheadu.ca/faculty-and-staff/ppm/student-surveys/graduate-employment" TargetMode="External"/><Relationship Id="rId72" Type="http://schemas.openxmlformats.org/officeDocument/2006/relationships/hyperlink" Target="https://www.numbeo.com/cost-of-living/in/Halifax" TargetMode="External"/><Relationship Id="rId93" Type="http://schemas.openxmlformats.org/officeDocument/2006/relationships/hyperlink" Target="https://www.trentu.ca/mmgt" TargetMode="External"/><Relationship Id="rId98" Type="http://schemas.openxmlformats.org/officeDocument/2006/relationships/hyperlink" Target="https://www.uoguelph.ca/lang/news/2023/03/lang-publishes-first-employment-report-commerce-program?" TargetMode="External"/><Relationship Id="rId121" Type="http://schemas.openxmlformats.org/officeDocument/2006/relationships/hyperlink" Target="https://www.concordia.ca/academics/graduate/finance-msc.html" TargetMode="External"/><Relationship Id="rId142" Type="http://schemas.openxmlformats.org/officeDocument/2006/relationships/hyperlink" Target="https://schulich.yorku.ca/admissions/tuition-fees-costs/" TargetMode="External"/><Relationship Id="rId163" Type="http://schemas.openxmlformats.org/officeDocument/2006/relationships/hyperlink" Target="https://www.westernu.ca/international/" TargetMode="External"/><Relationship Id="rId184" Type="http://schemas.openxmlformats.org/officeDocument/2006/relationships/hyperlink" Target="https://www.queensu.ca/international/" TargetMode="External"/><Relationship Id="rId189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3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25" Type="http://schemas.openxmlformats.org/officeDocument/2006/relationships/hyperlink" Target="https://www.topuniversities.com/universities/university-toronto" TargetMode="External"/><Relationship Id="rId46" Type="http://schemas.openxmlformats.org/officeDocument/2006/relationships/hyperlink" Target="https://oirp.carleton.ca/graduate-placement/tables/prov-table-by-rpgm.pdf" TargetMode="External"/><Relationship Id="rId67" Type="http://schemas.openxmlformats.org/officeDocument/2006/relationships/hyperlink" Target="https://www.unb.ca/finance/_assets/documents/financial-services/saint-john-tuition/grad/all-other/sj_gr_int_mba_ft.pdf%20;%20https:/www.unb.ca/gradstudies/programs/business-sj.html%20;%20https:/www.accessmba.com/program/university-of-new-brunswick-saint-john-campus/3538" TargetMode="External"/><Relationship Id="rId116" Type="http://schemas.openxmlformats.org/officeDocument/2006/relationships/hyperlink" Target="https://www.torontomu.ca/mba/" TargetMode="External"/><Relationship Id="rId137" Type="http://schemas.openxmlformats.org/officeDocument/2006/relationships/hyperlink" Target="https://schulich.yorku.ca/programs/mban/" TargetMode="External"/><Relationship Id="rId158" Type="http://schemas.openxmlformats.org/officeDocument/2006/relationships/hyperlink" Target="https://www.ivey.uwo.ca/analytics/admissions/tuition/" TargetMode="External"/><Relationship Id="rId20" Type="http://schemas.openxmlformats.org/officeDocument/2006/relationships/hyperlink" Target="https://www.rotman.utoronto.ca/registrar/programs/specialized-programs/master-of-finance" TargetMode="External"/><Relationship Id="rId41" Type="http://schemas.openxmlformats.org/officeDocument/2006/relationships/hyperlink" Target="https://www.topuniversities.com/world-university-rankings?countries=ca&amp;search=McGill%20University" TargetMode="External"/><Relationship Id="rId62" Type="http://schemas.openxmlformats.org/officeDocument/2006/relationships/hyperlink" Target="https://www.dal.ca/study/programs/graduate-professional/business-administration-mba-corporate-residency.html?%20;%20https://cdn.dal.ca/content/dam/dalhousie/pdf/admissions/MoneyMatters/Grad%202025-2026%20%28002%29.pdf" TargetMode="External"/><Relationship Id="rId83" Type="http://schemas.openxmlformats.org/officeDocument/2006/relationships/hyperlink" Target="https://www.uvic.ca/graduate/programs/graduate-programs/credential-pages/business-cred/business-administration-mba.php?residency=D%20;%20https://www.uvic.ca/gustavson/about/rankings-and-reputation/index.php" TargetMode="External"/><Relationship Id="rId88" Type="http://schemas.openxmlformats.org/officeDocument/2006/relationships/hyperlink" Target="https://www.topuniversities.com/world-university-rankings?countries=ca&amp;search=Brock%20University" TargetMode="External"/><Relationship Id="rId111" Type="http://schemas.openxmlformats.org/officeDocument/2006/relationships/hyperlink" Target="https://www.topuniversities.com/world-university-rankings?countries=ca&amp;search=windsor" TargetMode="External"/><Relationship Id="rId132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53" Type="http://schemas.openxmlformats.org/officeDocument/2006/relationships/hyperlink" Target="https://www.topuniversities.com/universities/western-university" TargetMode="External"/><Relationship Id="rId174" Type="http://schemas.openxmlformats.org/officeDocument/2006/relationships/hyperlink" Target="https://www.topuniversities.com/universities/queens-university-canada" TargetMode="External"/><Relationship Id="rId179" Type="http://schemas.openxmlformats.org/officeDocument/2006/relationships/hyperlink" Target="https://smith.queensu.ca/grad_studies/mib/fees.php" TargetMode="External"/><Relationship Id="rId15" Type="http://schemas.openxmlformats.org/officeDocument/2006/relationships/hyperlink" Target="https://www.canada.ca/en/immigration-refugees-citizenship/services/study-canada/study-permit/designated-learning-institutions-list.html" TargetMode="External"/><Relationship Id="rId36" Type="http://schemas.openxmlformats.org/officeDocument/2006/relationships/hyperlink" Target="https://www.mcgill.ca/desautels/programs/mba-programs/mba" TargetMode="External"/><Relationship Id="rId57" Type="http://schemas.openxmlformats.org/officeDocument/2006/relationships/hyperlink" Target="https://www.ualberta.ca/en/business/programs/mba/full-time/index.html%20;%20https:/www.ualberta.ca/en/business/programs/mba/full-time/financial-investment.html" TargetMode="External"/><Relationship Id="rId106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27" Type="http://schemas.openxmlformats.org/officeDocument/2006/relationships/hyperlink" Target="https://www.topuniversities.com/world-university-rankings?countries=ca&amp;search=Concordia%20University" TargetMode="External"/><Relationship Id="rId10" Type="http://schemas.openxmlformats.org/officeDocument/2006/relationships/hyperlink" Target="https://www.sauder.ubc.ca/programs/masters-degrees/ubc-mba/career-outcomes" TargetMode="External"/><Relationship Id="rId31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52" Type="http://schemas.openxmlformats.org/officeDocument/2006/relationships/hyperlink" Target="https://www.usherbrooke.ca/actualites/nouvelles/communaute/details/51337" TargetMode="External"/><Relationship Id="rId73" Type="http://schemas.openxmlformats.org/officeDocument/2006/relationships/hyperlink" Target="https://www.metromba.com/school/hec-montreal/hec-montreal-full-time-mba/%20;%20https:/www.hec.ca/en/students/tuition-fees/pdf/tuition-fees-mba.pdf" TargetMode="External"/><Relationship Id="rId78" Type="http://schemas.openxmlformats.org/officeDocument/2006/relationships/hyperlink" Target="https://www.uregina.ca/academics/programs/bus-admin/levene/master-business-administration.html%20;%20https:/www.uregina.ca/financial-services/assets/pdf/fee-schedules/202620-grad-studies-tuition-schedule-feb-2.pdf%20;%20https:/collegedunia.com/canada/college/97-university-of-regina-regina" TargetMode="External"/><Relationship Id="rId94" Type="http://schemas.openxmlformats.org/officeDocument/2006/relationships/hyperlink" Target="https://www.topuniversities.com/world-university-rankings?countries=ca&amp;search=guelph" TargetMode="External"/><Relationship Id="rId99" Type="http://schemas.openxmlformats.org/officeDocument/2006/relationships/hyperlink" Target="https://oirp.carleton.ca/graduate-placement/tables/prov-table-by-rpgm.pdf" TargetMode="External"/><Relationship Id="rId101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22" Type="http://schemas.openxmlformats.org/officeDocument/2006/relationships/hyperlink" Target="https://www.concordia.ca/jmsb/programs/graduate/msc-management.html" TargetMode="External"/><Relationship Id="rId143" Type="http://schemas.openxmlformats.org/officeDocument/2006/relationships/hyperlink" Target="https://schulich.yorku.ca/programs/macc/" TargetMode="External"/><Relationship Id="rId148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64" Type="http://schemas.openxmlformats.org/officeDocument/2006/relationships/hyperlink" Target="https://www.ivey.uwo.ca/msc/" TargetMode="External"/><Relationship Id="rId169" Type="http://schemas.openxmlformats.org/officeDocument/2006/relationships/hyperlink" Target="https://www.ivey.uwo.ca/recruiter/employment-insights-reports/" TargetMode="External"/><Relationship Id="rId185" Type="http://schemas.openxmlformats.org/officeDocument/2006/relationships/hyperlink" Target="https://smith.queensu.ca/grad_studies/mma/" TargetMode="External"/><Relationship Id="rId4" Type="http://schemas.openxmlformats.org/officeDocument/2006/relationships/hyperlink" Target="https://www.grad.ubc.ca/prospective-students/tuition-fees-cost-living/cost-living" TargetMode="External"/><Relationship Id="rId9" Type="http://schemas.openxmlformats.org/officeDocument/2006/relationships/hyperlink" Target="https://www.sauder.ubc.ca/programs/masters-degrees/mban/career-outcomes" TargetMode="External"/><Relationship Id="rId180" Type="http://schemas.openxmlformats.org/officeDocument/2006/relationships/hyperlink" Target="https://www.queensu.ca/international/" TargetMode="External"/><Relationship Id="rId26" Type="http://schemas.openxmlformats.org/officeDocument/2006/relationships/hyperlink" Target="https://www.topuniversities.com/universities/university-toronto" TargetMode="External"/><Relationship Id="rId47" Type="http://schemas.openxmlformats.org/officeDocument/2006/relationships/hyperlink" Target="https://www.uottawa.ca/about-us/administration-services/institutional-research-planning/surveys" TargetMode="External"/><Relationship Id="rId68" Type="http://schemas.openxmlformats.org/officeDocument/2006/relationships/hyperlink" Target="https://www.unb.ca/finance/_assets/documents/financial-services/fredericton-tuition/grad/course-based/fred_gr_cb_mba_srm_ccgm_ft.pdf%20;%20https:/www.unb.ca/fredericton/management/grad/mba/index.html%20;%20https:/www.topuniversities.com/university-new-brunswick/master-business-administration" TargetMode="External"/><Relationship Id="rId89" Type="http://schemas.openxmlformats.org/officeDocument/2006/relationships/hyperlink" Target="https://www.topuniversities.com/world-university-rankings?countries=ca&amp;search=Brock%20University" TargetMode="External"/><Relationship Id="rId112" Type="http://schemas.openxmlformats.org/officeDocument/2006/relationships/hyperlink" Target="https://www.uwindsor.ca/finance/fee-estimator" TargetMode="External"/><Relationship Id="rId133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54" Type="http://schemas.openxmlformats.org/officeDocument/2006/relationships/hyperlink" Target="https://www.ivey.uwo.ca/mba/admissions/tuition-financing/" TargetMode="External"/><Relationship Id="rId175" Type="http://schemas.openxmlformats.org/officeDocument/2006/relationships/hyperlink" Target="https://smith.queensu.ca/mba_programs/mba/fees.php" TargetMode="External"/><Relationship Id="rId16" Type="http://schemas.openxmlformats.org/officeDocument/2006/relationships/hyperlink" Target="https://www.rotman.utoronto.ca/programs/specialized-programs/master-of-management-analytics" TargetMode="External"/><Relationship Id="rId37" Type="http://schemas.openxmlformats.org/officeDocument/2006/relationships/hyperlink" Target="https://www.mcgill.ca/desautels/programs/mma" TargetMode="External"/><Relationship Id="rId58" Type="http://schemas.openxmlformats.org/officeDocument/2006/relationships/hyperlink" Target="https://www.ualberta.ca/en/business/programs/master-of-accounting/index.html%20;%20https:/www.ualberta.ca/en/business/programs/master-of-accounting/financial-investment.html" TargetMode="External"/><Relationship Id="rId79" Type="http://schemas.openxmlformats.org/officeDocument/2006/relationships/hyperlink" Target="https://www.uregina.ca/academics/programs/bus-admin/levene/master-business-administration.html%20;%20https:/www.uregina.ca/financial-services/assets/pdf/fee-schedules/202620-grad-studies-tuition-schedule-feb-2.pdf%20;%20https:/collegedunia.com/canada/college/97-university-of-regina-regina" TargetMode="External"/><Relationship Id="rId102" Type="http://schemas.openxmlformats.org/officeDocument/2006/relationships/hyperlink" Target="https://sites.ontariotechu.ca/oira/accountability/cudo/academic-plans/k2---key-performance-indicators,-employment-rate-of-2016-graduates-in-undergraduate-programs.php" TargetMode="External"/><Relationship Id="rId123" Type="http://schemas.openxmlformats.org/officeDocument/2006/relationships/hyperlink" Target="https://www.concordia.ca/academics/graduate/marketing-msc.html" TargetMode="External"/><Relationship Id="rId144" Type="http://schemas.openxmlformats.org/officeDocument/2006/relationships/hyperlink" Target="https://schulich.yorku.ca/admissions/tuition-fees-costs/" TargetMode="External"/><Relationship Id="rId90" Type="http://schemas.openxmlformats.org/officeDocument/2006/relationships/hyperlink" Target="https://www.topuniversities.com/world-university-rankings?countries=ca&amp;search=Brock%20University" TargetMode="External"/><Relationship Id="rId165" Type="http://schemas.openxmlformats.org/officeDocument/2006/relationships/hyperlink" Target="https://www.topuniversities.com/universities/western-university" TargetMode="External"/><Relationship Id="rId186" Type="http://schemas.openxmlformats.org/officeDocument/2006/relationships/hyperlink" Target="https://www.topuniversities.com/universities/queens-university-canada" TargetMode="External"/><Relationship Id="rId27" Type="http://schemas.openxmlformats.org/officeDocument/2006/relationships/hyperlink" Target="https://www.topuniversities.com/universities/university-toronto" TargetMode="External"/><Relationship Id="rId48" Type="http://schemas.openxmlformats.org/officeDocument/2006/relationships/hyperlink" Target="https://www.uottawa.ca/about-us/administration-services/institutional-research-planning/surveys" TargetMode="External"/><Relationship Id="rId69" Type="http://schemas.openxmlformats.org/officeDocument/2006/relationships/hyperlink" Target="https://www.smu.ca/sobey/mba/tuitionfees/" TargetMode="External"/><Relationship Id="rId113" Type="http://schemas.openxmlformats.org/officeDocument/2006/relationships/hyperlink" Target="https://www.uwindsor.ca/finance/fee-estimator" TargetMode="External"/><Relationship Id="rId134" Type="http://schemas.openxmlformats.org/officeDocument/2006/relationships/hyperlink" Target="https://schulich.yorku.ca/programs/mba/" TargetMode="External"/><Relationship Id="rId80" Type="http://schemas.openxmlformats.org/officeDocument/2006/relationships/hyperlink" Target="https://www.mun.ca/business/media/production/memorial/academic/faculty-of-business-administration/media-library/graduate/mba/MBA-tuition-fees-Intl-2025-2026.pdf/%20;%20https:/www.find-mba.com/schools/americas/canada/memorial-newfoundland" TargetMode="External"/><Relationship Id="rId155" Type="http://schemas.openxmlformats.org/officeDocument/2006/relationships/hyperlink" Target="https://www.westernu.ca/international/" TargetMode="External"/><Relationship Id="rId176" Type="http://schemas.openxmlformats.org/officeDocument/2006/relationships/hyperlink" Target="https://www.queensu.ca/international/" TargetMode="External"/><Relationship Id="rId17" Type="http://schemas.openxmlformats.org/officeDocument/2006/relationships/hyperlink" Target="https://www.rotman.utoronto.ca/programs/specialized-programs/master-of-management-analytics/tuition-scholarships" TargetMode="External"/><Relationship Id="rId38" Type="http://schemas.openxmlformats.org/officeDocument/2006/relationships/hyperlink" Target="https://www.mcgill.ca/desautels/programs/mmf" TargetMode="External"/><Relationship Id="rId59" Type="http://schemas.openxmlformats.org/officeDocument/2006/relationships/hyperlink" Target="https://www.ualberta.ca/en/business/programs/msc;%20https:/calendar.ualberta.ca/content.php?catoid=56&amp;navoid=17377" TargetMode="External"/><Relationship Id="rId103" Type="http://schemas.openxmlformats.org/officeDocument/2006/relationships/hyperlink" Target="https://sites.ontariotechu.ca/oira/accountability/cudo/academic-plans/k2---key-performance-indicators,-employment-rate-of-2016-graduates-in-undergraduate-programs.php" TargetMode="External"/><Relationship Id="rId124" Type="http://schemas.openxmlformats.org/officeDocument/2006/relationships/hyperlink" Target="https://www.concordia.ca/jmsb/programs/graduate/mscm.html" TargetMode="External"/><Relationship Id="rId70" Type="http://schemas.openxmlformats.org/officeDocument/2006/relationships/hyperlink" Target="https://www.topuniversities.com/universities/dalhousie-university" TargetMode="External"/><Relationship Id="rId91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145" Type="http://schemas.openxmlformats.org/officeDocument/2006/relationships/hyperlink" Target="https://schulich.yorku.ca/student-life-services/career-centre/for-recruiters/employment-and-salary-reports/" TargetMode="External"/><Relationship Id="rId166" Type="http://schemas.openxmlformats.org/officeDocument/2006/relationships/hyperlink" Target="https://www.ivey.uwo.ca/msc/admission/cost/" TargetMode="External"/><Relationship Id="rId187" Type="http://schemas.openxmlformats.org/officeDocument/2006/relationships/hyperlink" Target="https://smith.queensu.ca/grad_studies/mma/fees.php" TargetMode="External"/><Relationship Id="rId1" Type="http://schemas.openxmlformats.org/officeDocument/2006/relationships/hyperlink" Target="https://www.grad.ubc.ca/prospective-students/graduate-degree-programs/master-of-business-analytics" TargetMode="External"/><Relationship Id="rId28" Type="http://schemas.openxmlformats.org/officeDocument/2006/relationships/hyperlink" Target="https://www.canada.ca/en/immigration-refugees-citizenship/services/study-canada/study-permit/prepare/designated-learning-institutions-list.html" TargetMode="External"/><Relationship Id="rId49" Type="http://schemas.openxmlformats.org/officeDocument/2006/relationships/hyperlink" Target="https://www.lakeheadu.ca/faculty-and-staff/ppm/student-surveys/graduate-employment" TargetMode="External"/><Relationship Id="rId114" Type="http://schemas.openxmlformats.org/officeDocument/2006/relationships/hyperlink" Target="https://www.torontomu.ca/graduate/programs/master-science-management/" TargetMode="External"/><Relationship Id="rId60" Type="http://schemas.openxmlformats.org/officeDocument/2006/relationships/hyperlink" Target="https://umanitoba.ca/asper/programs/master-of-finance;%20https:/umanitoba.ca/graduate-studies/admissions/programs-of-study/finance-mfin" TargetMode="External"/><Relationship Id="rId81" Type="http://schemas.openxmlformats.org/officeDocument/2006/relationships/hyperlink" Target="https://www.mun.ca/become/graduate/programs-and-courses/management/" TargetMode="External"/><Relationship Id="rId135" Type="http://schemas.openxmlformats.org/officeDocument/2006/relationships/hyperlink" Target="https://www.topuniversities.com/universities/york-university" TargetMode="External"/><Relationship Id="rId156" Type="http://schemas.openxmlformats.org/officeDocument/2006/relationships/hyperlink" Target="https://www.ivey.uwo.ca/mma/" TargetMode="External"/><Relationship Id="rId177" Type="http://schemas.openxmlformats.org/officeDocument/2006/relationships/hyperlink" Target="https://smith.queensu.ca/grad_studies/mi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19"/>
  <sheetViews>
    <sheetView tabSelected="1" zoomScale="51" workbookViewId="0">
      <pane xSplit="1" topLeftCell="B1" activePane="topRight" state="frozen"/>
      <selection pane="topRight" activeCell="O1" sqref="O1:T1"/>
    </sheetView>
  </sheetViews>
  <sheetFormatPr defaultColWidth="9.08984375" defaultRowHeight="14.5" x14ac:dyDescent="0.35"/>
  <cols>
    <col min="1" max="1" width="28" style="28" customWidth="1"/>
    <col min="2" max="2" width="26" style="28" customWidth="1"/>
    <col min="3" max="3" width="13" style="29" customWidth="1"/>
    <col min="4" max="4" width="35.6328125" style="28" customWidth="1"/>
    <col min="5" max="5" width="22" style="29" customWidth="1"/>
    <col min="6" max="6" width="25" style="29" customWidth="1"/>
    <col min="7" max="8" width="19" style="29" customWidth="1"/>
    <col min="9" max="9" width="15" style="30" customWidth="1"/>
    <col min="10" max="11" width="13" style="12" customWidth="1"/>
    <col min="12" max="12" width="28" style="30" customWidth="1"/>
    <col min="13" max="13" width="18" style="31" customWidth="1"/>
    <col min="14" max="14" width="19" style="32" customWidth="1"/>
    <col min="15" max="16" width="15" style="10" customWidth="1"/>
    <col min="17" max="18" width="19" style="10" customWidth="1"/>
    <col min="19" max="19" width="17" style="10" customWidth="1"/>
    <col min="20" max="20" width="19" style="10" customWidth="1"/>
    <col min="21" max="21" width="17" style="10" customWidth="1"/>
    <col min="22" max="22" width="16" style="10" customWidth="1"/>
    <col min="23" max="23" width="20" style="10" customWidth="1"/>
    <col min="24" max="24" width="24" style="10" customWidth="1"/>
    <col min="25" max="25" width="17" style="12" customWidth="1"/>
    <col min="26" max="26" width="20" style="12" customWidth="1"/>
    <col min="27" max="27" width="17" style="12" customWidth="1"/>
    <col min="28" max="28" width="25" style="12" customWidth="1"/>
    <col min="29" max="29" width="19" style="12" customWidth="1"/>
    <col min="30" max="30" width="15" style="12" customWidth="1"/>
    <col min="31" max="31" width="23" style="12" customWidth="1"/>
    <col min="32" max="32" width="22" style="12" customWidth="1"/>
    <col min="33" max="33" width="20" style="12" customWidth="1"/>
    <col min="34" max="34" width="22" style="12" customWidth="1"/>
    <col min="35" max="35" width="28" style="12" customWidth="1"/>
    <col min="36" max="36" width="19" style="12" customWidth="1"/>
    <col min="37" max="37" width="10" style="12" customWidth="1"/>
    <col min="38" max="38" width="19" style="12" customWidth="1"/>
    <col min="39" max="39" width="17" style="12" customWidth="1"/>
    <col min="40" max="41" width="12" style="12" customWidth="1"/>
    <col min="42" max="42" width="15" style="12" customWidth="1"/>
    <col min="43" max="16384" width="9.08984375" style="12"/>
  </cols>
  <sheetData>
    <row r="1" spans="1:42" ht="29" x14ac:dyDescent="0.35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 ht="145" x14ac:dyDescent="0.35">
      <c r="A2" s="13" t="s">
        <v>20</v>
      </c>
      <c r="B2" s="13" t="s">
        <v>21</v>
      </c>
      <c r="C2" s="14" t="s">
        <v>22</v>
      </c>
      <c r="D2" s="13" t="s">
        <v>23</v>
      </c>
      <c r="E2" s="14">
        <v>69000</v>
      </c>
      <c r="F2" s="14">
        <v>45000</v>
      </c>
      <c r="G2" s="15" t="s">
        <v>24</v>
      </c>
      <c r="H2" s="14">
        <f>IF(ISNUMBER(G2),G2,AVERAGE(VALUE(TRIM(LEFT(SUBSTITUTE(G2,"–","-"),FIND("-",SUBSTITUTE(G2,"–","-"))-1))),VALUE(TRIM(MID(SUBSTITUTE(G2,"–","-"),FIND("-",SUBSTITUTE(G2,"–","-"))+1,100)))))</f>
        <v>19500</v>
      </c>
      <c r="I2" s="16" t="s">
        <v>25</v>
      </c>
      <c r="J2" s="17">
        <v>0</v>
      </c>
      <c r="K2" s="17">
        <v>1</v>
      </c>
      <c r="L2" s="16" t="s">
        <v>26</v>
      </c>
      <c r="M2" s="18" t="s">
        <v>27</v>
      </c>
      <c r="N2" s="19" t="s">
        <v>28</v>
      </c>
      <c r="O2" s="20" t="s">
        <v>29</v>
      </c>
      <c r="P2" s="21" t="s">
        <v>30</v>
      </c>
      <c r="Q2" s="20" t="s">
        <v>31</v>
      </c>
      <c r="R2" s="20" t="s">
        <v>32</v>
      </c>
      <c r="S2" s="20" t="s">
        <v>33</v>
      </c>
      <c r="T2" s="20" t="s">
        <v>34</v>
      </c>
    </row>
    <row r="3" spans="1:42" ht="145" x14ac:dyDescent="0.35">
      <c r="A3" s="13" t="s">
        <v>20</v>
      </c>
      <c r="B3" s="13" t="s">
        <v>21</v>
      </c>
      <c r="C3" s="14" t="s">
        <v>22</v>
      </c>
      <c r="D3" s="13" t="s">
        <v>35</v>
      </c>
      <c r="E3" s="14">
        <v>98000</v>
      </c>
      <c r="F3" s="14">
        <v>54000</v>
      </c>
      <c r="G3" s="15" t="s">
        <v>24</v>
      </c>
      <c r="H3" s="14">
        <f t="shared" ref="H3:H57" si="0">IF(ISNUMBER(G3),G3,AVERAGE(VALUE(TRIM(LEFT(SUBSTITUTE(G3,"–","-"),FIND("-",SUBSTITUTE(G3,"–","-"))-1))),VALUE(TRIM(MID(SUBSTITUTE(G3,"–","-"),FIND("-",SUBSTITUTE(G3,"–","-"))+1,100)))))</f>
        <v>19500</v>
      </c>
      <c r="I3" s="16" t="s">
        <v>36</v>
      </c>
      <c r="J3" s="17">
        <v>1</v>
      </c>
      <c r="K3" s="17">
        <v>1</v>
      </c>
      <c r="L3" s="16" t="s">
        <v>37</v>
      </c>
      <c r="M3" s="18" t="s">
        <v>38</v>
      </c>
      <c r="N3" s="19" t="s">
        <v>39</v>
      </c>
      <c r="O3" s="20" t="s">
        <v>40</v>
      </c>
      <c r="P3" s="21" t="s">
        <v>30</v>
      </c>
      <c r="Q3" s="20" t="s">
        <v>31</v>
      </c>
      <c r="R3" s="20" t="s">
        <v>32</v>
      </c>
      <c r="S3" s="20" t="s">
        <v>33</v>
      </c>
      <c r="T3" s="20" t="s">
        <v>41</v>
      </c>
    </row>
    <row r="4" spans="1:42" ht="188.5" x14ac:dyDescent="0.35">
      <c r="A4" s="13" t="s">
        <v>20</v>
      </c>
      <c r="B4" s="13" t="s">
        <v>21</v>
      </c>
      <c r="C4" s="14" t="s">
        <v>22</v>
      </c>
      <c r="D4" s="13" t="s">
        <v>42</v>
      </c>
      <c r="E4" s="14">
        <v>60938</v>
      </c>
      <c r="F4" s="14">
        <v>34012</v>
      </c>
      <c r="G4" s="15" t="s">
        <v>24</v>
      </c>
      <c r="H4" s="14">
        <f t="shared" si="0"/>
        <v>19500</v>
      </c>
      <c r="I4" s="16" t="s">
        <v>43</v>
      </c>
      <c r="J4" s="17">
        <v>0</v>
      </c>
      <c r="K4" s="17">
        <v>0</v>
      </c>
      <c r="L4" s="16" t="s">
        <v>44</v>
      </c>
      <c r="M4" s="18" t="s">
        <v>45</v>
      </c>
      <c r="N4" s="19" t="s">
        <v>46</v>
      </c>
      <c r="O4" s="20" t="s">
        <v>47</v>
      </c>
      <c r="P4" s="21" t="s">
        <v>30</v>
      </c>
      <c r="Q4" s="20" t="s">
        <v>31</v>
      </c>
      <c r="R4" s="20" t="s">
        <v>32</v>
      </c>
      <c r="S4" s="20" t="s">
        <v>33</v>
      </c>
      <c r="T4" s="20" t="s">
        <v>48</v>
      </c>
    </row>
    <row r="5" spans="1:42" ht="145" x14ac:dyDescent="0.35">
      <c r="A5" s="13" t="s">
        <v>49</v>
      </c>
      <c r="B5" s="13" t="s">
        <v>50</v>
      </c>
      <c r="C5" s="14" t="s">
        <v>51</v>
      </c>
      <c r="D5" s="13" t="s">
        <v>52</v>
      </c>
      <c r="E5" s="14">
        <v>71000</v>
      </c>
      <c r="F5" s="14">
        <v>40000</v>
      </c>
      <c r="G5" s="15" t="s">
        <v>24</v>
      </c>
      <c r="H5" s="14">
        <f t="shared" si="0"/>
        <v>19500</v>
      </c>
      <c r="I5" s="16" t="s">
        <v>53</v>
      </c>
      <c r="J5" s="17">
        <v>0</v>
      </c>
      <c r="K5" s="17">
        <v>0</v>
      </c>
      <c r="L5" s="16" t="s">
        <v>37</v>
      </c>
      <c r="M5" s="18">
        <v>0.93500000000000005</v>
      </c>
      <c r="N5" s="22">
        <v>83727</v>
      </c>
      <c r="O5" s="20" t="s">
        <v>54</v>
      </c>
      <c r="P5" s="20" t="s">
        <v>55</v>
      </c>
      <c r="Q5" s="20" t="s">
        <v>56</v>
      </c>
      <c r="R5" s="20" t="s">
        <v>57</v>
      </c>
      <c r="S5" s="20" t="s">
        <v>58</v>
      </c>
      <c r="T5" s="21" t="s">
        <v>59</v>
      </c>
    </row>
    <row r="6" spans="1:42" ht="145" x14ac:dyDescent="0.35">
      <c r="A6" s="13" t="s">
        <v>49</v>
      </c>
      <c r="B6" s="13" t="s">
        <v>50</v>
      </c>
      <c r="C6" s="14" t="s">
        <v>51</v>
      </c>
      <c r="D6" s="13" t="s">
        <v>60</v>
      </c>
      <c r="E6" s="14">
        <v>71000</v>
      </c>
      <c r="F6" s="14">
        <v>64000</v>
      </c>
      <c r="G6" s="15" t="s">
        <v>61</v>
      </c>
      <c r="H6" s="14">
        <f t="shared" si="0"/>
        <v>18500</v>
      </c>
      <c r="I6" s="16" t="s">
        <v>53</v>
      </c>
      <c r="J6" s="17">
        <v>0</v>
      </c>
      <c r="K6" s="17">
        <v>0</v>
      </c>
      <c r="L6" s="16" t="s">
        <v>37</v>
      </c>
      <c r="M6" s="18" t="s">
        <v>62</v>
      </c>
      <c r="N6" s="19" t="s">
        <v>63</v>
      </c>
      <c r="O6" s="20" t="s">
        <v>64</v>
      </c>
      <c r="P6" s="20" t="s">
        <v>55</v>
      </c>
      <c r="Q6" s="20" t="s">
        <v>65</v>
      </c>
      <c r="R6" s="20" t="s">
        <v>57</v>
      </c>
      <c r="S6" s="20" t="s">
        <v>33</v>
      </c>
      <c r="T6" s="20" t="s">
        <v>59</v>
      </c>
    </row>
    <row r="7" spans="1:42" ht="145" x14ac:dyDescent="0.35">
      <c r="A7" s="13" t="s">
        <v>49</v>
      </c>
      <c r="B7" s="13" t="s">
        <v>50</v>
      </c>
      <c r="C7" s="14" t="s">
        <v>51</v>
      </c>
      <c r="D7" s="13" t="s">
        <v>35</v>
      </c>
      <c r="E7" s="14">
        <v>137000</v>
      </c>
      <c r="F7" s="14">
        <v>92540</v>
      </c>
      <c r="G7" s="15" t="s">
        <v>61</v>
      </c>
      <c r="H7" s="14">
        <f t="shared" si="0"/>
        <v>18500</v>
      </c>
      <c r="I7" s="16" t="s">
        <v>66</v>
      </c>
      <c r="J7" s="17">
        <v>1</v>
      </c>
      <c r="K7" s="17">
        <v>1</v>
      </c>
      <c r="L7" s="16" t="s">
        <v>67</v>
      </c>
      <c r="M7" s="18" t="s">
        <v>68</v>
      </c>
      <c r="N7" s="19" t="s">
        <v>69</v>
      </c>
      <c r="O7" s="20" t="s">
        <v>70</v>
      </c>
      <c r="P7" s="20" t="s">
        <v>55</v>
      </c>
      <c r="Q7" s="20" t="s">
        <v>71</v>
      </c>
      <c r="R7" s="20" t="s">
        <v>57</v>
      </c>
      <c r="S7" s="20" t="s">
        <v>33</v>
      </c>
      <c r="T7" s="20" t="s">
        <v>72</v>
      </c>
    </row>
    <row r="8" spans="1:42" ht="145" x14ac:dyDescent="0.35">
      <c r="A8" s="13" t="s">
        <v>49</v>
      </c>
      <c r="B8" s="13" t="s">
        <v>50</v>
      </c>
      <c r="C8" s="14" t="s">
        <v>51</v>
      </c>
      <c r="D8" s="13" t="s">
        <v>73</v>
      </c>
      <c r="E8" s="14">
        <v>93000</v>
      </c>
      <c r="F8" s="14">
        <v>93000</v>
      </c>
      <c r="G8" s="15" t="s">
        <v>61</v>
      </c>
      <c r="H8" s="14">
        <f t="shared" si="0"/>
        <v>18500</v>
      </c>
      <c r="I8" s="16" t="s">
        <v>74</v>
      </c>
      <c r="J8" s="17">
        <v>0</v>
      </c>
      <c r="K8" s="17">
        <v>1</v>
      </c>
      <c r="L8" s="16" t="s">
        <v>75</v>
      </c>
      <c r="M8" s="18" t="s">
        <v>62</v>
      </c>
      <c r="N8" s="19" t="s">
        <v>69</v>
      </c>
      <c r="O8" s="20" t="s">
        <v>76</v>
      </c>
      <c r="P8" s="20" t="s">
        <v>55</v>
      </c>
      <c r="Q8" s="20" t="s">
        <v>77</v>
      </c>
      <c r="R8" s="20" t="s">
        <v>57</v>
      </c>
      <c r="S8" s="20" t="s">
        <v>33</v>
      </c>
      <c r="T8" s="21" t="s">
        <v>78</v>
      </c>
    </row>
    <row r="9" spans="1:42" ht="145" x14ac:dyDescent="0.35">
      <c r="A9" s="13" t="s">
        <v>49</v>
      </c>
      <c r="B9" s="13" t="s">
        <v>50</v>
      </c>
      <c r="C9" s="14" t="s">
        <v>51</v>
      </c>
      <c r="D9" s="13" t="s">
        <v>79</v>
      </c>
      <c r="E9" s="14">
        <v>80000</v>
      </c>
      <c r="F9" s="14">
        <v>67000</v>
      </c>
      <c r="G9" s="15" t="s">
        <v>61</v>
      </c>
      <c r="H9" s="14">
        <f t="shared" si="0"/>
        <v>18500</v>
      </c>
      <c r="I9" s="16" t="s">
        <v>80</v>
      </c>
      <c r="J9" s="17">
        <v>0</v>
      </c>
      <c r="K9" s="17">
        <v>1</v>
      </c>
      <c r="L9" s="16" t="s">
        <v>81</v>
      </c>
      <c r="M9" s="18" t="s">
        <v>62</v>
      </c>
      <c r="N9" s="19" t="s">
        <v>82</v>
      </c>
      <c r="O9" s="20" t="s">
        <v>83</v>
      </c>
      <c r="P9" s="20" t="s">
        <v>55</v>
      </c>
      <c r="Q9" s="20" t="s">
        <v>84</v>
      </c>
      <c r="R9" s="20" t="s">
        <v>57</v>
      </c>
      <c r="S9" s="20" t="s">
        <v>33</v>
      </c>
      <c r="T9" s="21" t="s">
        <v>85</v>
      </c>
    </row>
    <row r="10" spans="1:42" ht="145" x14ac:dyDescent="0.35">
      <c r="A10" s="13" t="s">
        <v>86</v>
      </c>
      <c r="B10" s="13" t="s">
        <v>50</v>
      </c>
      <c r="C10" s="14" t="s">
        <v>87</v>
      </c>
      <c r="D10" s="13" t="s">
        <v>88</v>
      </c>
      <c r="E10" s="14">
        <v>123700</v>
      </c>
      <c r="F10" s="14">
        <v>72180</v>
      </c>
      <c r="G10" s="15" t="s">
        <v>61</v>
      </c>
      <c r="H10" s="14">
        <f t="shared" si="0"/>
        <v>18500</v>
      </c>
      <c r="I10" s="16">
        <v>16</v>
      </c>
      <c r="J10" s="17">
        <v>1</v>
      </c>
      <c r="K10" s="17">
        <v>1</v>
      </c>
      <c r="L10" s="16" t="s">
        <v>89</v>
      </c>
      <c r="M10" s="18" t="s">
        <v>38</v>
      </c>
      <c r="N10" s="19" t="s">
        <v>90</v>
      </c>
      <c r="O10" s="20" t="s">
        <v>91</v>
      </c>
      <c r="P10" s="20" t="s">
        <v>92</v>
      </c>
      <c r="Q10" s="20" t="s">
        <v>93</v>
      </c>
      <c r="R10" s="20" t="s">
        <v>93</v>
      </c>
      <c r="S10" s="20" t="s">
        <v>33</v>
      </c>
      <c r="T10" s="17" t="s">
        <v>94</v>
      </c>
      <c r="U10" s="12"/>
      <c r="V10" s="12"/>
      <c r="W10" s="12"/>
      <c r="X10" s="12"/>
    </row>
    <row r="11" spans="1:42" ht="145" x14ac:dyDescent="0.35">
      <c r="A11" s="13" t="s">
        <v>86</v>
      </c>
      <c r="B11" s="13" t="s">
        <v>50</v>
      </c>
      <c r="C11" s="14" t="s">
        <v>87</v>
      </c>
      <c r="D11" s="13" t="s">
        <v>23</v>
      </c>
      <c r="E11" s="14">
        <v>92745</v>
      </c>
      <c r="F11" s="14">
        <v>60000</v>
      </c>
      <c r="G11" s="15" t="s">
        <v>61</v>
      </c>
      <c r="H11" s="14">
        <f t="shared" si="0"/>
        <v>18500</v>
      </c>
      <c r="I11" s="16" t="s">
        <v>25</v>
      </c>
      <c r="J11" s="17">
        <v>1</v>
      </c>
      <c r="K11" s="17">
        <v>0</v>
      </c>
      <c r="L11" s="16" t="s">
        <v>26</v>
      </c>
      <c r="M11" s="18" t="s">
        <v>62</v>
      </c>
      <c r="N11" s="19" t="s">
        <v>95</v>
      </c>
      <c r="O11" s="20" t="s">
        <v>96</v>
      </c>
      <c r="P11" s="21" t="s">
        <v>97</v>
      </c>
      <c r="Q11" s="20" t="s">
        <v>93</v>
      </c>
      <c r="R11" s="21" t="s">
        <v>93</v>
      </c>
      <c r="S11" s="20" t="s">
        <v>33</v>
      </c>
      <c r="T11" s="17" t="s">
        <v>94</v>
      </c>
      <c r="U11" s="12"/>
      <c r="V11" s="12"/>
      <c r="W11" s="12"/>
      <c r="X11" s="12"/>
    </row>
    <row r="12" spans="1:42" ht="145" x14ac:dyDescent="0.35">
      <c r="A12" s="13" t="s">
        <v>86</v>
      </c>
      <c r="B12" s="13" t="s">
        <v>50</v>
      </c>
      <c r="C12" s="14" t="s">
        <v>87</v>
      </c>
      <c r="D12" s="13" t="s">
        <v>98</v>
      </c>
      <c r="E12" s="14">
        <v>92000</v>
      </c>
      <c r="F12" s="14">
        <v>54000</v>
      </c>
      <c r="G12" s="15">
        <v>22895</v>
      </c>
      <c r="H12" s="14">
        <f t="shared" si="0"/>
        <v>22895</v>
      </c>
      <c r="I12" s="16" t="s">
        <v>25</v>
      </c>
      <c r="J12" s="17">
        <v>1</v>
      </c>
      <c r="K12" s="17">
        <v>1</v>
      </c>
      <c r="L12" s="16" t="s">
        <v>75</v>
      </c>
      <c r="M12" s="18" t="s">
        <v>68</v>
      </c>
      <c r="N12" s="19" t="s">
        <v>99</v>
      </c>
      <c r="O12" s="20" t="s">
        <v>100</v>
      </c>
      <c r="P12" s="21" t="s">
        <v>97</v>
      </c>
      <c r="Q12" s="20" t="s">
        <v>93</v>
      </c>
      <c r="R12" s="21" t="s">
        <v>93</v>
      </c>
      <c r="S12" s="20" t="s">
        <v>33</v>
      </c>
      <c r="T12" s="17" t="s">
        <v>94</v>
      </c>
      <c r="U12" s="12"/>
      <c r="V12" s="12"/>
      <c r="W12" s="12"/>
      <c r="X12" s="12"/>
    </row>
    <row r="13" spans="1:42" ht="145" x14ac:dyDescent="0.35">
      <c r="A13" s="13" t="s">
        <v>86</v>
      </c>
      <c r="B13" s="13" t="s">
        <v>50</v>
      </c>
      <c r="C13" s="14" t="s">
        <v>87</v>
      </c>
      <c r="D13" s="13" t="s">
        <v>52</v>
      </c>
      <c r="E13" s="14">
        <v>68000</v>
      </c>
      <c r="F13" s="14">
        <v>28000</v>
      </c>
      <c r="G13" s="15">
        <v>22895</v>
      </c>
      <c r="H13" s="14">
        <f t="shared" si="0"/>
        <v>22895</v>
      </c>
      <c r="I13" s="16" t="s">
        <v>25</v>
      </c>
      <c r="J13" s="17">
        <v>1</v>
      </c>
      <c r="K13" s="17">
        <v>0</v>
      </c>
      <c r="L13" s="16" t="s">
        <v>101</v>
      </c>
      <c r="M13" s="18" t="s">
        <v>102</v>
      </c>
      <c r="N13" s="19" t="s">
        <v>46</v>
      </c>
      <c r="O13" s="20" t="s">
        <v>103</v>
      </c>
      <c r="P13" s="21" t="s">
        <v>97</v>
      </c>
      <c r="Q13" s="20" t="s">
        <v>93</v>
      </c>
      <c r="R13" s="20" t="s">
        <v>93</v>
      </c>
      <c r="S13" s="20" t="s">
        <v>33</v>
      </c>
      <c r="T13" s="23" t="s">
        <v>94</v>
      </c>
      <c r="U13" s="12"/>
      <c r="V13" s="12"/>
      <c r="W13" s="12"/>
      <c r="X13" s="12"/>
    </row>
    <row r="14" spans="1:42" ht="145" x14ac:dyDescent="0.35">
      <c r="A14" s="13" t="s">
        <v>86</v>
      </c>
      <c r="B14" s="13" t="s">
        <v>50</v>
      </c>
      <c r="C14" s="14" t="s">
        <v>87</v>
      </c>
      <c r="D14" s="13" t="s">
        <v>104</v>
      </c>
      <c r="E14" s="14">
        <v>91000</v>
      </c>
      <c r="F14" s="14">
        <v>38000</v>
      </c>
      <c r="G14" s="15">
        <v>22895</v>
      </c>
      <c r="H14" s="14">
        <f t="shared" si="0"/>
        <v>22895</v>
      </c>
      <c r="I14" s="16" t="s">
        <v>25</v>
      </c>
      <c r="J14" s="17">
        <v>1</v>
      </c>
      <c r="K14" s="17">
        <v>0</v>
      </c>
      <c r="L14" s="16" t="s">
        <v>81</v>
      </c>
      <c r="M14" s="18" t="s">
        <v>38</v>
      </c>
      <c r="N14" s="19" t="s">
        <v>105</v>
      </c>
      <c r="O14" s="20" t="s">
        <v>106</v>
      </c>
      <c r="P14" s="21" t="s">
        <v>97</v>
      </c>
      <c r="Q14" s="20" t="s">
        <v>93</v>
      </c>
      <c r="R14" s="21" t="s">
        <v>93</v>
      </c>
      <c r="S14" s="20" t="s">
        <v>33</v>
      </c>
      <c r="T14" s="17" t="s">
        <v>94</v>
      </c>
      <c r="U14" s="12"/>
      <c r="V14" s="12"/>
      <c r="W14" s="12"/>
      <c r="X14" s="12"/>
    </row>
    <row r="15" spans="1:42" ht="145" x14ac:dyDescent="0.35">
      <c r="A15" s="13" t="s">
        <v>107</v>
      </c>
      <c r="B15" s="13" t="s">
        <v>50</v>
      </c>
      <c r="C15" s="14" t="s">
        <v>108</v>
      </c>
      <c r="D15" s="13" t="s">
        <v>109</v>
      </c>
      <c r="E15" s="14" t="s">
        <v>110</v>
      </c>
      <c r="F15" s="14" t="s">
        <v>111</v>
      </c>
      <c r="G15" s="15" t="s">
        <v>112</v>
      </c>
      <c r="H15" s="14">
        <f t="shared" si="0"/>
        <v>20000</v>
      </c>
      <c r="I15" s="16" t="s">
        <v>25</v>
      </c>
      <c r="J15" s="17">
        <v>0</v>
      </c>
      <c r="K15" s="17">
        <v>1</v>
      </c>
      <c r="L15" s="16" t="s">
        <v>113</v>
      </c>
      <c r="M15" s="18" t="s">
        <v>68</v>
      </c>
      <c r="N15" s="19" t="s">
        <v>114</v>
      </c>
      <c r="O15" s="20" t="s">
        <v>115</v>
      </c>
      <c r="P15" s="20" t="s">
        <v>116</v>
      </c>
      <c r="Q15" s="20" t="s">
        <v>117</v>
      </c>
      <c r="R15" s="20" t="s">
        <v>118</v>
      </c>
      <c r="S15" s="20" t="s">
        <v>33</v>
      </c>
      <c r="T15" s="20" t="s">
        <v>119</v>
      </c>
    </row>
    <row r="16" spans="1:42" ht="145" x14ac:dyDescent="0.35">
      <c r="A16" s="13" t="s">
        <v>107</v>
      </c>
      <c r="B16" s="13" t="s">
        <v>50</v>
      </c>
      <c r="C16" s="14" t="s">
        <v>108</v>
      </c>
      <c r="D16" s="13" t="s">
        <v>120</v>
      </c>
      <c r="E16" s="14" t="s">
        <v>121</v>
      </c>
      <c r="F16" s="14" t="s">
        <v>122</v>
      </c>
      <c r="G16" s="15" t="s">
        <v>123</v>
      </c>
      <c r="H16" s="14">
        <f t="shared" si="0"/>
        <v>19000</v>
      </c>
      <c r="I16" s="16" t="s">
        <v>25</v>
      </c>
      <c r="J16" s="17">
        <v>0</v>
      </c>
      <c r="K16" s="17">
        <v>0</v>
      </c>
      <c r="L16" s="16" t="s">
        <v>101</v>
      </c>
      <c r="M16" s="18" t="s">
        <v>37</v>
      </c>
      <c r="N16" s="19" t="s">
        <v>124</v>
      </c>
      <c r="O16" s="20" t="s">
        <v>125</v>
      </c>
      <c r="P16" s="20" t="s">
        <v>116</v>
      </c>
      <c r="Q16" s="20" t="s">
        <v>126</v>
      </c>
      <c r="R16" s="20" t="s">
        <v>118</v>
      </c>
      <c r="S16" s="20" t="s">
        <v>33</v>
      </c>
      <c r="T16" s="20" t="s">
        <v>119</v>
      </c>
    </row>
    <row r="17" spans="1:23" ht="145" x14ac:dyDescent="0.35">
      <c r="A17" s="13" t="s">
        <v>107</v>
      </c>
      <c r="B17" s="13" t="s">
        <v>50</v>
      </c>
      <c r="C17" s="14" t="s">
        <v>108</v>
      </c>
      <c r="D17" s="13" t="s">
        <v>127</v>
      </c>
      <c r="E17" s="14" t="s">
        <v>128</v>
      </c>
      <c r="F17" s="14" t="s">
        <v>124</v>
      </c>
      <c r="G17" s="14">
        <v>21000</v>
      </c>
      <c r="H17" s="14">
        <f t="shared" si="0"/>
        <v>21000</v>
      </c>
      <c r="I17" s="16" t="s">
        <v>129</v>
      </c>
      <c r="J17" s="17">
        <v>0</v>
      </c>
      <c r="K17" s="17">
        <v>1</v>
      </c>
      <c r="L17" s="16" t="s">
        <v>130</v>
      </c>
      <c r="M17" s="18" t="s">
        <v>131</v>
      </c>
      <c r="N17" s="19" t="s">
        <v>132</v>
      </c>
      <c r="O17" s="20" t="s">
        <v>133</v>
      </c>
      <c r="P17" s="20" t="s">
        <v>116</v>
      </c>
      <c r="Q17" s="20" t="s">
        <v>134</v>
      </c>
      <c r="R17" s="20" t="s">
        <v>118</v>
      </c>
      <c r="S17" s="20" t="s">
        <v>33</v>
      </c>
      <c r="T17" s="20" t="s">
        <v>119</v>
      </c>
    </row>
    <row r="18" spans="1:23" ht="145" x14ac:dyDescent="0.35">
      <c r="A18" s="13" t="s">
        <v>107</v>
      </c>
      <c r="B18" s="13" t="s">
        <v>50</v>
      </c>
      <c r="C18" s="14" t="s">
        <v>108</v>
      </c>
      <c r="D18" s="13" t="s">
        <v>135</v>
      </c>
      <c r="E18" s="14" t="s">
        <v>136</v>
      </c>
      <c r="F18" s="14" t="s">
        <v>137</v>
      </c>
      <c r="G18" s="14">
        <v>21000</v>
      </c>
      <c r="H18" s="14">
        <f t="shared" si="0"/>
        <v>21000</v>
      </c>
      <c r="I18" s="16" t="s">
        <v>36</v>
      </c>
      <c r="J18" s="17">
        <v>0</v>
      </c>
      <c r="K18" s="17">
        <v>0</v>
      </c>
      <c r="L18" s="16" t="s">
        <v>138</v>
      </c>
      <c r="M18" s="18" t="s">
        <v>38</v>
      </c>
      <c r="N18" s="19" t="s">
        <v>139</v>
      </c>
      <c r="O18" s="20" t="s">
        <v>140</v>
      </c>
      <c r="P18" s="20" t="s">
        <v>116</v>
      </c>
      <c r="Q18" s="20" t="s">
        <v>141</v>
      </c>
      <c r="R18" s="20" t="s">
        <v>118</v>
      </c>
      <c r="S18" s="20" t="s">
        <v>33</v>
      </c>
      <c r="T18" s="20" t="s">
        <v>119</v>
      </c>
    </row>
    <row r="19" spans="1:23" ht="145" x14ac:dyDescent="0.35">
      <c r="A19" s="13" t="s">
        <v>142</v>
      </c>
      <c r="B19" s="13" t="s">
        <v>50</v>
      </c>
      <c r="C19" s="14" t="s">
        <v>143</v>
      </c>
      <c r="D19" s="13" t="s">
        <v>109</v>
      </c>
      <c r="E19" s="14">
        <v>110000</v>
      </c>
      <c r="F19" s="14">
        <v>83885</v>
      </c>
      <c r="G19" s="14">
        <v>21000</v>
      </c>
      <c r="H19" s="14">
        <f t="shared" si="0"/>
        <v>21000</v>
      </c>
      <c r="I19" s="16" t="s">
        <v>25</v>
      </c>
      <c r="J19" s="17">
        <v>0</v>
      </c>
      <c r="K19" s="17">
        <v>1</v>
      </c>
      <c r="L19" s="16" t="s">
        <v>144</v>
      </c>
      <c r="M19" s="18" t="s">
        <v>27</v>
      </c>
      <c r="N19" s="19" t="s">
        <v>145</v>
      </c>
      <c r="O19" s="20" t="s">
        <v>146</v>
      </c>
      <c r="P19" s="20" t="s">
        <v>147</v>
      </c>
      <c r="Q19" s="20" t="s">
        <v>148</v>
      </c>
      <c r="R19" s="20" t="s">
        <v>149</v>
      </c>
      <c r="S19" s="20" t="s">
        <v>33</v>
      </c>
      <c r="T19" s="17" t="s">
        <v>150</v>
      </c>
      <c r="U19" s="12"/>
      <c r="V19" s="12"/>
    </row>
    <row r="20" spans="1:23" ht="145" x14ac:dyDescent="0.35">
      <c r="A20" s="13" t="s">
        <v>142</v>
      </c>
      <c r="B20" s="13" t="s">
        <v>50</v>
      </c>
      <c r="C20" s="14" t="s">
        <v>143</v>
      </c>
      <c r="D20" s="13" t="s">
        <v>151</v>
      </c>
      <c r="E20" s="14">
        <v>59347</v>
      </c>
      <c r="F20" s="14">
        <v>31503</v>
      </c>
      <c r="G20" s="14">
        <v>21000</v>
      </c>
      <c r="H20" s="14">
        <f t="shared" si="0"/>
        <v>21000</v>
      </c>
      <c r="I20" s="16" t="s">
        <v>25</v>
      </c>
      <c r="J20" s="17">
        <v>0</v>
      </c>
      <c r="K20" s="17">
        <v>0</v>
      </c>
      <c r="L20" s="16" t="s">
        <v>26</v>
      </c>
      <c r="M20" s="18" t="s">
        <v>152</v>
      </c>
      <c r="N20" s="19" t="s">
        <v>153</v>
      </c>
      <c r="O20" s="20" t="s">
        <v>154</v>
      </c>
      <c r="P20" s="20" t="s">
        <v>147</v>
      </c>
      <c r="Q20" s="20" t="s">
        <v>155</v>
      </c>
      <c r="R20" s="20" t="s">
        <v>149</v>
      </c>
      <c r="S20" s="20" t="s">
        <v>33</v>
      </c>
      <c r="T20" s="17" t="s">
        <v>156</v>
      </c>
      <c r="U20" s="12"/>
      <c r="V20" s="12"/>
    </row>
    <row r="21" spans="1:23" ht="145" x14ac:dyDescent="0.35">
      <c r="A21" s="13" t="s">
        <v>142</v>
      </c>
      <c r="B21" s="13" t="s">
        <v>50</v>
      </c>
      <c r="C21" s="14" t="s">
        <v>143</v>
      </c>
      <c r="D21" s="13" t="s">
        <v>157</v>
      </c>
      <c r="E21" s="14">
        <v>59220</v>
      </c>
      <c r="F21" s="14">
        <v>37065</v>
      </c>
      <c r="G21" s="14">
        <v>21000</v>
      </c>
      <c r="H21" s="14">
        <f t="shared" si="0"/>
        <v>21000</v>
      </c>
      <c r="I21" s="16" t="s">
        <v>25</v>
      </c>
      <c r="J21" s="17">
        <v>0</v>
      </c>
      <c r="K21" s="17">
        <v>0</v>
      </c>
      <c r="L21" s="16" t="s">
        <v>81</v>
      </c>
      <c r="M21" s="18" t="s">
        <v>38</v>
      </c>
      <c r="N21" s="19" t="s">
        <v>158</v>
      </c>
      <c r="O21" s="20" t="s">
        <v>159</v>
      </c>
      <c r="P21" s="20" t="s">
        <v>147</v>
      </c>
      <c r="Q21" s="20" t="s">
        <v>160</v>
      </c>
      <c r="R21" s="20" t="s">
        <v>149</v>
      </c>
      <c r="S21" s="20" t="s">
        <v>33</v>
      </c>
      <c r="T21" s="17" t="s">
        <v>156</v>
      </c>
      <c r="U21" s="12"/>
      <c r="V21" s="12"/>
    </row>
    <row r="22" spans="1:23" ht="145" x14ac:dyDescent="0.35">
      <c r="A22" s="13" t="s">
        <v>142</v>
      </c>
      <c r="B22" s="13" t="s">
        <v>50</v>
      </c>
      <c r="C22" s="14" t="s">
        <v>143</v>
      </c>
      <c r="D22" s="13" t="s">
        <v>161</v>
      </c>
      <c r="E22" s="14">
        <v>83725</v>
      </c>
      <c r="F22" s="14">
        <v>45515</v>
      </c>
      <c r="G22" s="15">
        <v>21000</v>
      </c>
      <c r="H22" s="14">
        <f t="shared" si="0"/>
        <v>21000</v>
      </c>
      <c r="I22" s="16" t="s">
        <v>25</v>
      </c>
      <c r="J22" s="17">
        <v>0</v>
      </c>
      <c r="K22" s="17">
        <v>0</v>
      </c>
      <c r="L22" s="16" t="s">
        <v>37</v>
      </c>
      <c r="M22" s="18" t="s">
        <v>162</v>
      </c>
      <c r="N22" s="19" t="s">
        <v>163</v>
      </c>
      <c r="O22" s="20" t="s">
        <v>164</v>
      </c>
      <c r="P22" s="20" t="s">
        <v>147</v>
      </c>
      <c r="Q22" s="20" t="s">
        <v>165</v>
      </c>
      <c r="R22" s="20" t="s">
        <v>149</v>
      </c>
      <c r="S22" s="20" t="s">
        <v>33</v>
      </c>
      <c r="T22" s="17" t="s">
        <v>166</v>
      </c>
      <c r="U22" s="12"/>
      <c r="V22" s="12"/>
    </row>
    <row r="23" spans="1:23" ht="145" x14ac:dyDescent="0.35">
      <c r="A23" s="13" t="s">
        <v>167</v>
      </c>
      <c r="B23" s="13" t="s">
        <v>50</v>
      </c>
      <c r="C23" s="14" t="s">
        <v>168</v>
      </c>
      <c r="D23" s="13" t="s">
        <v>169</v>
      </c>
      <c r="E23" s="14">
        <v>65000</v>
      </c>
      <c r="F23" s="14">
        <v>28000</v>
      </c>
      <c r="G23" s="15">
        <v>21000</v>
      </c>
      <c r="H23" s="14">
        <f t="shared" si="0"/>
        <v>21000</v>
      </c>
      <c r="I23" s="16" t="s">
        <v>36</v>
      </c>
      <c r="J23" s="17">
        <v>0</v>
      </c>
      <c r="K23" s="17">
        <v>0</v>
      </c>
      <c r="L23" s="16" t="s">
        <v>170</v>
      </c>
      <c r="M23" s="18" t="s">
        <v>38</v>
      </c>
      <c r="N23" s="19" t="s">
        <v>99</v>
      </c>
      <c r="O23" s="20" t="s">
        <v>171</v>
      </c>
      <c r="P23" s="20" t="s">
        <v>172</v>
      </c>
      <c r="Q23" s="20" t="s">
        <v>173</v>
      </c>
      <c r="R23" s="20" t="s">
        <v>173</v>
      </c>
      <c r="S23" s="20" t="s">
        <v>33</v>
      </c>
      <c r="T23" s="21" t="s">
        <v>174</v>
      </c>
      <c r="U23" s="12"/>
    </row>
    <row r="24" spans="1:23" ht="145" x14ac:dyDescent="0.35">
      <c r="A24" s="13" t="s">
        <v>167</v>
      </c>
      <c r="B24" s="13" t="s">
        <v>50</v>
      </c>
      <c r="C24" s="14" t="s">
        <v>168</v>
      </c>
      <c r="D24" s="13" t="s">
        <v>42</v>
      </c>
      <c r="E24" s="14">
        <v>52000</v>
      </c>
      <c r="F24" s="14">
        <v>52000</v>
      </c>
      <c r="G24" s="15">
        <v>21000</v>
      </c>
      <c r="H24" s="14">
        <f t="shared" si="0"/>
        <v>21000</v>
      </c>
      <c r="I24" s="16">
        <v>12</v>
      </c>
      <c r="J24" s="17">
        <v>0</v>
      </c>
      <c r="K24" s="17">
        <v>0</v>
      </c>
      <c r="L24" s="16" t="s">
        <v>175</v>
      </c>
      <c r="M24" s="18" t="s">
        <v>176</v>
      </c>
      <c r="N24" s="19" t="s">
        <v>177</v>
      </c>
      <c r="O24" s="20" t="s">
        <v>178</v>
      </c>
      <c r="P24" s="20" t="s">
        <v>172</v>
      </c>
      <c r="Q24" s="21" t="s">
        <v>173</v>
      </c>
      <c r="R24" s="20" t="s">
        <v>173</v>
      </c>
      <c r="S24" s="20" t="s">
        <v>33</v>
      </c>
      <c r="T24" s="21" t="s">
        <v>179</v>
      </c>
      <c r="U24" s="12"/>
    </row>
    <row r="25" spans="1:23" ht="145" x14ac:dyDescent="0.35">
      <c r="A25" s="13" t="s">
        <v>180</v>
      </c>
      <c r="B25" s="13" t="s">
        <v>50</v>
      </c>
      <c r="C25" s="14" t="s">
        <v>181</v>
      </c>
      <c r="D25" s="13" t="s">
        <v>182</v>
      </c>
      <c r="E25" s="14">
        <v>40433</v>
      </c>
      <c r="F25" s="14">
        <v>17371</v>
      </c>
      <c r="G25" s="15">
        <v>21000</v>
      </c>
      <c r="H25" s="14">
        <f t="shared" si="0"/>
        <v>21000</v>
      </c>
      <c r="I25" s="16" t="s">
        <v>36</v>
      </c>
      <c r="J25" s="17">
        <v>0</v>
      </c>
      <c r="K25" s="17">
        <v>0</v>
      </c>
      <c r="L25" s="16">
        <v>56</v>
      </c>
      <c r="M25" s="18" t="s">
        <v>176</v>
      </c>
      <c r="N25" s="19" t="s">
        <v>99</v>
      </c>
      <c r="O25" s="20" t="s">
        <v>183</v>
      </c>
      <c r="P25" s="20" t="s">
        <v>172</v>
      </c>
      <c r="Q25" s="20" t="s">
        <v>184</v>
      </c>
      <c r="R25" s="21" t="s">
        <v>57</v>
      </c>
      <c r="S25" s="20" t="s">
        <v>33</v>
      </c>
      <c r="T25" s="21" t="s">
        <v>185</v>
      </c>
    </row>
    <row r="26" spans="1:23" ht="145" x14ac:dyDescent="0.35">
      <c r="A26" s="13" t="s">
        <v>180</v>
      </c>
      <c r="B26" s="13" t="s">
        <v>50</v>
      </c>
      <c r="C26" s="14" t="s">
        <v>181</v>
      </c>
      <c r="D26" s="13" t="s">
        <v>35</v>
      </c>
      <c r="E26" s="14">
        <v>65000</v>
      </c>
      <c r="F26" s="14">
        <v>30000</v>
      </c>
      <c r="G26" s="15">
        <v>21000</v>
      </c>
      <c r="H26" s="14">
        <f t="shared" si="0"/>
        <v>21000</v>
      </c>
      <c r="I26" s="16">
        <v>12</v>
      </c>
      <c r="J26" s="17">
        <v>1</v>
      </c>
      <c r="K26" s="17">
        <v>1</v>
      </c>
      <c r="L26" s="16">
        <v>56</v>
      </c>
      <c r="M26" s="18" t="s">
        <v>38</v>
      </c>
      <c r="N26" s="19" t="s">
        <v>186</v>
      </c>
      <c r="O26" s="20" t="s">
        <v>187</v>
      </c>
      <c r="P26" s="20" t="s">
        <v>172</v>
      </c>
      <c r="Q26" s="21" t="s">
        <v>188</v>
      </c>
      <c r="R26" s="21" t="s">
        <v>57</v>
      </c>
      <c r="S26" s="20" t="s">
        <v>33</v>
      </c>
      <c r="T26" s="21" t="s">
        <v>185</v>
      </c>
    </row>
    <row r="27" spans="1:23" ht="145" x14ac:dyDescent="0.35">
      <c r="A27" s="13" t="s">
        <v>189</v>
      </c>
      <c r="B27" s="13" t="s">
        <v>190</v>
      </c>
      <c r="C27" s="14" t="s">
        <v>191</v>
      </c>
      <c r="D27" s="13" t="s">
        <v>35</v>
      </c>
      <c r="E27" s="14">
        <v>108500</v>
      </c>
      <c r="F27" s="14">
        <v>85500</v>
      </c>
      <c r="G27" s="15">
        <v>21000</v>
      </c>
      <c r="H27" s="14">
        <f t="shared" si="0"/>
        <v>21000</v>
      </c>
      <c r="I27" s="16">
        <v>12</v>
      </c>
      <c r="J27" s="17">
        <v>1</v>
      </c>
      <c r="K27" s="17">
        <v>1</v>
      </c>
      <c r="L27" s="16">
        <v>75</v>
      </c>
      <c r="M27" s="18" t="s">
        <v>192</v>
      </c>
      <c r="N27" s="19" t="s">
        <v>193</v>
      </c>
      <c r="O27" s="20" t="s">
        <v>194</v>
      </c>
      <c r="P27" s="20" t="s">
        <v>172</v>
      </c>
      <c r="Q27" s="21" t="s">
        <v>195</v>
      </c>
      <c r="R27" s="21" t="s">
        <v>196</v>
      </c>
      <c r="S27" s="20" t="s">
        <v>33</v>
      </c>
      <c r="T27" s="21" t="s">
        <v>197</v>
      </c>
    </row>
    <row r="28" spans="1:23" ht="145" x14ac:dyDescent="0.35">
      <c r="A28" s="13" t="s">
        <v>189</v>
      </c>
      <c r="B28" s="13" t="s">
        <v>190</v>
      </c>
      <c r="C28" s="14" t="s">
        <v>191</v>
      </c>
      <c r="D28" s="13" t="s">
        <v>198</v>
      </c>
      <c r="E28" s="14">
        <v>82098</v>
      </c>
      <c r="F28" s="14">
        <v>49000</v>
      </c>
      <c r="G28" s="15">
        <v>21000</v>
      </c>
      <c r="H28" s="14">
        <f t="shared" si="0"/>
        <v>21000</v>
      </c>
      <c r="I28" s="16">
        <v>12</v>
      </c>
      <c r="J28" s="17">
        <v>1</v>
      </c>
      <c r="K28" s="17">
        <v>0</v>
      </c>
      <c r="L28" s="16" t="s">
        <v>170</v>
      </c>
      <c r="M28" s="18" t="s">
        <v>152</v>
      </c>
      <c r="N28" s="19" t="s">
        <v>99</v>
      </c>
      <c r="O28" s="20" t="s">
        <v>199</v>
      </c>
      <c r="P28" s="20" t="s">
        <v>172</v>
      </c>
      <c r="Q28" s="21" t="s">
        <v>200</v>
      </c>
      <c r="R28" s="21" t="s">
        <v>196</v>
      </c>
      <c r="S28" s="20" t="s">
        <v>33</v>
      </c>
      <c r="T28" s="21" t="s">
        <v>201</v>
      </c>
    </row>
    <row r="29" spans="1:23" ht="145" x14ac:dyDescent="0.35">
      <c r="A29" s="13" t="s">
        <v>189</v>
      </c>
      <c r="B29" s="13" t="s">
        <v>190</v>
      </c>
      <c r="C29" s="14" t="s">
        <v>191</v>
      </c>
      <c r="D29" s="13" t="s">
        <v>202</v>
      </c>
      <c r="E29" s="14">
        <v>72524</v>
      </c>
      <c r="F29" s="14">
        <v>53517</v>
      </c>
      <c r="G29" s="15">
        <v>21000</v>
      </c>
      <c r="H29" s="14">
        <f t="shared" si="0"/>
        <v>21000</v>
      </c>
      <c r="I29" s="16">
        <v>12</v>
      </c>
      <c r="J29" s="17">
        <v>0</v>
      </c>
      <c r="K29" s="17">
        <v>0</v>
      </c>
      <c r="L29" s="16" t="s">
        <v>22</v>
      </c>
      <c r="M29" s="18" t="s">
        <v>162</v>
      </c>
      <c r="N29" s="19" t="s">
        <v>177</v>
      </c>
      <c r="O29" s="20" t="s">
        <v>203</v>
      </c>
      <c r="P29" s="20" t="s">
        <v>172</v>
      </c>
      <c r="Q29" s="20" t="s">
        <v>204</v>
      </c>
      <c r="R29" s="21" t="s">
        <v>196</v>
      </c>
      <c r="S29" s="20" t="s">
        <v>33</v>
      </c>
      <c r="T29" s="21" t="s">
        <v>205</v>
      </c>
    </row>
    <row r="30" spans="1:23" ht="145" x14ac:dyDescent="0.35">
      <c r="A30" s="13" t="s">
        <v>189</v>
      </c>
      <c r="B30" s="13" t="s">
        <v>190</v>
      </c>
      <c r="C30" s="14" t="s">
        <v>191</v>
      </c>
      <c r="D30" s="13" t="s">
        <v>206</v>
      </c>
      <c r="E30" s="14">
        <v>60761</v>
      </c>
      <c r="F30" s="14">
        <v>48807</v>
      </c>
      <c r="G30" s="15">
        <v>21000</v>
      </c>
      <c r="H30" s="14">
        <f t="shared" si="0"/>
        <v>21000</v>
      </c>
      <c r="I30" s="16" t="s">
        <v>36</v>
      </c>
      <c r="J30" s="17">
        <v>1</v>
      </c>
      <c r="K30" s="17">
        <v>0</v>
      </c>
      <c r="L30" s="16" t="s">
        <v>22</v>
      </c>
      <c r="M30" s="18" t="s">
        <v>162</v>
      </c>
      <c r="N30" s="19" t="s">
        <v>207</v>
      </c>
      <c r="O30" s="20" t="s">
        <v>208</v>
      </c>
      <c r="P30" s="20" t="s">
        <v>172</v>
      </c>
      <c r="Q30" s="21" t="s">
        <v>209</v>
      </c>
      <c r="R30" s="21" t="s">
        <v>196</v>
      </c>
      <c r="S30" s="20" t="s">
        <v>33</v>
      </c>
      <c r="T30" s="21" t="s">
        <v>210</v>
      </c>
    </row>
    <row r="31" spans="1:23" ht="145" x14ac:dyDescent="0.35">
      <c r="A31" s="13" t="s">
        <v>211</v>
      </c>
      <c r="B31" s="13" t="s">
        <v>190</v>
      </c>
      <c r="C31" s="14" t="s">
        <v>212</v>
      </c>
      <c r="D31" s="13" t="s">
        <v>213</v>
      </c>
      <c r="E31" s="14">
        <v>42700</v>
      </c>
      <c r="F31" s="14">
        <v>17300</v>
      </c>
      <c r="G31" s="15">
        <v>21000</v>
      </c>
      <c r="H31" s="14">
        <f t="shared" si="0"/>
        <v>21000</v>
      </c>
      <c r="I31" s="16" t="s">
        <v>214</v>
      </c>
      <c r="J31" s="17">
        <v>0</v>
      </c>
      <c r="K31" s="17">
        <v>0</v>
      </c>
      <c r="L31" s="16" t="s">
        <v>22</v>
      </c>
      <c r="M31" s="18">
        <v>0.875</v>
      </c>
      <c r="N31" s="19">
        <v>75000</v>
      </c>
      <c r="O31" s="20" t="s">
        <v>215</v>
      </c>
      <c r="P31" s="23" t="s">
        <v>172</v>
      </c>
      <c r="Q31" s="21" t="s">
        <v>216</v>
      </c>
      <c r="R31" s="21" t="s">
        <v>217</v>
      </c>
      <c r="S31" s="20" t="s">
        <v>33</v>
      </c>
      <c r="T31" s="17" t="s">
        <v>218</v>
      </c>
      <c r="U31" s="12"/>
      <c r="V31" s="12"/>
      <c r="W31" s="12"/>
    </row>
    <row r="32" spans="1:23" ht="145" x14ac:dyDescent="0.35">
      <c r="A32" s="13" t="s">
        <v>211</v>
      </c>
      <c r="B32" s="13" t="s">
        <v>190</v>
      </c>
      <c r="C32" s="14" t="s">
        <v>212</v>
      </c>
      <c r="D32" s="13" t="s">
        <v>219</v>
      </c>
      <c r="E32" s="14">
        <v>42000</v>
      </c>
      <c r="F32" s="14">
        <v>17300</v>
      </c>
      <c r="G32" s="15">
        <v>21000</v>
      </c>
      <c r="H32" s="14">
        <f t="shared" si="0"/>
        <v>21000</v>
      </c>
      <c r="I32" s="16" t="s">
        <v>214</v>
      </c>
      <c r="J32" s="17">
        <v>0</v>
      </c>
      <c r="K32" s="17">
        <v>0</v>
      </c>
      <c r="L32" s="16" t="s">
        <v>220</v>
      </c>
      <c r="M32" s="18">
        <v>0.875</v>
      </c>
      <c r="N32" s="19" t="s">
        <v>221</v>
      </c>
      <c r="O32" s="20" t="s">
        <v>222</v>
      </c>
      <c r="P32" s="23" t="s">
        <v>172</v>
      </c>
      <c r="Q32" s="21" t="s">
        <v>223</v>
      </c>
      <c r="R32" s="21" t="s">
        <v>217</v>
      </c>
      <c r="S32" s="20" t="s">
        <v>33</v>
      </c>
      <c r="T32" s="17" t="s">
        <v>218</v>
      </c>
      <c r="U32" s="12"/>
      <c r="V32" s="12"/>
      <c r="W32" s="12"/>
    </row>
    <row r="33" spans="1:23" ht="145" x14ac:dyDescent="0.35">
      <c r="A33" s="13" t="s">
        <v>211</v>
      </c>
      <c r="B33" s="13" t="s">
        <v>190</v>
      </c>
      <c r="C33" s="14" t="s">
        <v>212</v>
      </c>
      <c r="D33" s="13" t="s">
        <v>224</v>
      </c>
      <c r="E33" s="14">
        <v>42700</v>
      </c>
      <c r="F33" s="14">
        <v>17300</v>
      </c>
      <c r="G33" s="15">
        <v>21000</v>
      </c>
      <c r="H33" s="14">
        <f t="shared" si="0"/>
        <v>21000</v>
      </c>
      <c r="I33" s="16">
        <v>20</v>
      </c>
      <c r="J33" s="17">
        <v>0</v>
      </c>
      <c r="K33" s="17">
        <v>0</v>
      </c>
      <c r="L33" s="16" t="s">
        <v>225</v>
      </c>
      <c r="M33" s="18" t="s">
        <v>176</v>
      </c>
      <c r="N33" s="19" t="s">
        <v>226</v>
      </c>
      <c r="O33" s="20" t="s">
        <v>227</v>
      </c>
      <c r="P33" s="23" t="s">
        <v>172</v>
      </c>
      <c r="Q33" s="21" t="s">
        <v>228</v>
      </c>
      <c r="R33" s="21" t="s">
        <v>217</v>
      </c>
      <c r="S33" s="20" t="s">
        <v>33</v>
      </c>
      <c r="T33" s="17" t="s">
        <v>218</v>
      </c>
      <c r="U33" s="12"/>
      <c r="V33" s="12"/>
      <c r="W33" s="12"/>
    </row>
    <row r="34" spans="1:23" ht="145" x14ac:dyDescent="0.35">
      <c r="A34" s="13" t="s">
        <v>211</v>
      </c>
      <c r="B34" s="13" t="s">
        <v>190</v>
      </c>
      <c r="C34" s="14" t="s">
        <v>212</v>
      </c>
      <c r="D34" s="13" t="s">
        <v>229</v>
      </c>
      <c r="E34" s="14">
        <v>42500</v>
      </c>
      <c r="F34" s="14">
        <v>17300</v>
      </c>
      <c r="G34" s="15">
        <v>21000</v>
      </c>
      <c r="H34" s="14">
        <f t="shared" si="0"/>
        <v>21000</v>
      </c>
      <c r="I34" s="16" t="s">
        <v>214</v>
      </c>
      <c r="J34" s="17">
        <v>0</v>
      </c>
      <c r="K34" s="17">
        <v>0</v>
      </c>
      <c r="L34" s="16" t="s">
        <v>225</v>
      </c>
      <c r="M34" s="18" t="s">
        <v>176</v>
      </c>
      <c r="N34" s="19" t="s">
        <v>230</v>
      </c>
      <c r="O34" s="20" t="s">
        <v>231</v>
      </c>
      <c r="P34" s="23" t="s">
        <v>172</v>
      </c>
      <c r="Q34" s="21" t="s">
        <v>232</v>
      </c>
      <c r="R34" s="21" t="s">
        <v>217</v>
      </c>
      <c r="S34" s="20" t="s">
        <v>33</v>
      </c>
      <c r="T34" s="17" t="s">
        <v>218</v>
      </c>
      <c r="U34" s="12"/>
      <c r="V34" s="12"/>
      <c r="W34" s="12"/>
    </row>
    <row r="35" spans="1:23" ht="145" x14ac:dyDescent="0.35">
      <c r="A35" s="13" t="s">
        <v>211</v>
      </c>
      <c r="B35" s="13" t="s">
        <v>190</v>
      </c>
      <c r="C35" s="14" t="s">
        <v>212</v>
      </c>
      <c r="D35" s="13" t="s">
        <v>233</v>
      </c>
      <c r="E35" s="14">
        <v>50000</v>
      </c>
      <c r="F35" s="14">
        <v>22000</v>
      </c>
      <c r="G35" s="15">
        <v>21000</v>
      </c>
      <c r="H35" s="14">
        <f t="shared" si="0"/>
        <v>21000</v>
      </c>
      <c r="I35" s="16">
        <v>16</v>
      </c>
      <c r="J35" s="17">
        <v>0</v>
      </c>
      <c r="K35" s="17">
        <v>0</v>
      </c>
      <c r="L35" s="16" t="s">
        <v>170</v>
      </c>
      <c r="M35" s="18" t="s">
        <v>38</v>
      </c>
      <c r="N35" s="19" t="s">
        <v>234</v>
      </c>
      <c r="O35" s="20" t="s">
        <v>235</v>
      </c>
      <c r="P35" s="23" t="s">
        <v>172</v>
      </c>
      <c r="Q35" s="21" t="s">
        <v>236</v>
      </c>
      <c r="R35" s="21" t="s">
        <v>217</v>
      </c>
      <c r="S35" s="20" t="s">
        <v>33</v>
      </c>
      <c r="T35" s="17" t="s">
        <v>218</v>
      </c>
      <c r="U35" s="12"/>
      <c r="V35" s="12"/>
      <c r="W35" s="12"/>
    </row>
    <row r="36" spans="1:23" ht="145" x14ac:dyDescent="0.35">
      <c r="A36" s="13" t="s">
        <v>211</v>
      </c>
      <c r="B36" s="13" t="s">
        <v>190</v>
      </c>
      <c r="C36" s="14" t="s">
        <v>212</v>
      </c>
      <c r="D36" s="13" t="s">
        <v>88</v>
      </c>
      <c r="E36" s="14">
        <v>52500</v>
      </c>
      <c r="F36" s="14">
        <v>21000</v>
      </c>
      <c r="G36" s="15">
        <v>21000</v>
      </c>
      <c r="H36" s="14">
        <f t="shared" si="0"/>
        <v>21000</v>
      </c>
      <c r="I36" s="16">
        <v>16</v>
      </c>
      <c r="J36" s="17">
        <v>1</v>
      </c>
      <c r="K36" s="17">
        <v>1</v>
      </c>
      <c r="L36" s="16">
        <v>75</v>
      </c>
      <c r="M36" s="18" t="s">
        <v>237</v>
      </c>
      <c r="N36" s="19" t="s">
        <v>238</v>
      </c>
      <c r="O36" s="20" t="s">
        <v>239</v>
      </c>
      <c r="P36" s="21"/>
      <c r="Q36" s="21"/>
      <c r="R36" s="21" t="s">
        <v>217</v>
      </c>
      <c r="S36" s="20" t="s">
        <v>33</v>
      </c>
      <c r="T36" s="17" t="s">
        <v>218</v>
      </c>
      <c r="U36" s="12"/>
      <c r="V36" s="12"/>
      <c r="W36" s="12"/>
    </row>
    <row r="37" spans="1:23" ht="145" x14ac:dyDescent="0.35">
      <c r="A37" s="13" t="s">
        <v>240</v>
      </c>
      <c r="B37" s="13" t="s">
        <v>50</v>
      </c>
      <c r="C37" s="14" t="s">
        <v>241</v>
      </c>
      <c r="D37" s="13" t="s">
        <v>242</v>
      </c>
      <c r="E37" s="14">
        <v>53603.85</v>
      </c>
      <c r="F37" s="14">
        <v>12140</v>
      </c>
      <c r="G37" s="15">
        <v>21000</v>
      </c>
      <c r="H37" s="14">
        <f t="shared" si="0"/>
        <v>21000</v>
      </c>
      <c r="I37" s="16" t="s">
        <v>243</v>
      </c>
      <c r="J37" s="17">
        <v>0</v>
      </c>
      <c r="K37" s="17">
        <v>0</v>
      </c>
      <c r="L37" s="16">
        <v>35</v>
      </c>
      <c r="M37" s="18">
        <v>0.9</v>
      </c>
      <c r="N37" s="19">
        <v>75000</v>
      </c>
      <c r="O37" s="20" t="s">
        <v>244</v>
      </c>
      <c r="P37" s="20" t="s">
        <v>172</v>
      </c>
      <c r="Q37" s="21" t="s">
        <v>245</v>
      </c>
      <c r="R37" s="21" t="s">
        <v>246</v>
      </c>
      <c r="S37" s="20" t="s">
        <v>33</v>
      </c>
      <c r="T37" s="21" t="s">
        <v>247</v>
      </c>
    </row>
    <row r="38" spans="1:23" ht="145" x14ac:dyDescent="0.35">
      <c r="A38" s="13" t="s">
        <v>240</v>
      </c>
      <c r="B38" s="13" t="s">
        <v>50</v>
      </c>
      <c r="C38" s="14" t="s">
        <v>248</v>
      </c>
      <c r="D38" s="13" t="s">
        <v>35</v>
      </c>
      <c r="E38" s="14">
        <v>79129.5</v>
      </c>
      <c r="F38" s="14">
        <v>29994</v>
      </c>
      <c r="G38" s="15">
        <v>21000</v>
      </c>
      <c r="H38" s="14">
        <f t="shared" si="0"/>
        <v>21000</v>
      </c>
      <c r="I38" s="16" t="s">
        <v>36</v>
      </c>
      <c r="J38" s="17">
        <v>1</v>
      </c>
      <c r="K38" s="17">
        <v>1</v>
      </c>
      <c r="L38" s="16">
        <v>75</v>
      </c>
      <c r="M38" s="18">
        <v>0.875</v>
      </c>
      <c r="N38" s="19" t="s">
        <v>39</v>
      </c>
      <c r="O38" s="20" t="s">
        <v>249</v>
      </c>
      <c r="P38" s="20" t="s">
        <v>172</v>
      </c>
      <c r="Q38" s="21" t="s">
        <v>245</v>
      </c>
      <c r="R38" s="21" t="s">
        <v>246</v>
      </c>
      <c r="S38" s="20" t="s">
        <v>33</v>
      </c>
      <c r="T38" s="21" t="s">
        <v>250</v>
      </c>
    </row>
    <row r="39" spans="1:23" ht="145" x14ac:dyDescent="0.35">
      <c r="A39" s="13" t="s">
        <v>240</v>
      </c>
      <c r="B39" s="13" t="s">
        <v>50</v>
      </c>
      <c r="C39" s="14" t="s">
        <v>251</v>
      </c>
      <c r="D39" s="13" t="s">
        <v>252</v>
      </c>
      <c r="E39" s="14">
        <v>41367.75</v>
      </c>
      <c r="F39" s="14">
        <v>13600</v>
      </c>
      <c r="G39" s="15">
        <v>21000</v>
      </c>
      <c r="H39" s="14">
        <f t="shared" si="0"/>
        <v>21000</v>
      </c>
      <c r="I39" s="16" t="s">
        <v>36</v>
      </c>
      <c r="J39" s="17">
        <v>0</v>
      </c>
      <c r="K39" s="17">
        <v>0</v>
      </c>
      <c r="L39" s="16">
        <v>25</v>
      </c>
      <c r="M39" s="18" t="s">
        <v>176</v>
      </c>
      <c r="N39" s="19" t="s">
        <v>95</v>
      </c>
      <c r="O39" s="20" t="s">
        <v>253</v>
      </c>
      <c r="P39" s="20" t="s">
        <v>172</v>
      </c>
      <c r="Q39" s="21" t="s">
        <v>245</v>
      </c>
      <c r="R39" s="21" t="s">
        <v>246</v>
      </c>
      <c r="S39" s="20" t="s">
        <v>33</v>
      </c>
      <c r="T39" s="21" t="s">
        <v>254</v>
      </c>
    </row>
    <row r="40" spans="1:23" ht="145" x14ac:dyDescent="0.35">
      <c r="A40" s="13" t="s">
        <v>255</v>
      </c>
      <c r="B40" s="13" t="s">
        <v>50</v>
      </c>
      <c r="C40" s="14" t="s">
        <v>256</v>
      </c>
      <c r="D40" s="13" t="s">
        <v>224</v>
      </c>
      <c r="E40" s="14">
        <v>38933</v>
      </c>
      <c r="F40" s="14">
        <v>32433</v>
      </c>
      <c r="G40" s="15">
        <v>21000</v>
      </c>
      <c r="H40" s="14">
        <f t="shared" si="0"/>
        <v>21000</v>
      </c>
      <c r="I40" s="16">
        <v>16</v>
      </c>
      <c r="J40" s="17">
        <v>1</v>
      </c>
      <c r="K40" s="17">
        <v>0</v>
      </c>
      <c r="L40" s="16">
        <v>40</v>
      </c>
      <c r="M40" s="18" t="s">
        <v>38</v>
      </c>
      <c r="N40" s="19" t="s">
        <v>257</v>
      </c>
      <c r="O40" s="20" t="s">
        <v>258</v>
      </c>
      <c r="P40" s="20" t="s">
        <v>172</v>
      </c>
      <c r="Q40" s="21" t="s">
        <v>259</v>
      </c>
      <c r="R40" s="21" t="s">
        <v>260</v>
      </c>
      <c r="S40" s="20" t="s">
        <v>33</v>
      </c>
      <c r="T40" s="20" t="s">
        <v>261</v>
      </c>
    </row>
    <row r="41" spans="1:23" ht="145" x14ac:dyDescent="0.35">
      <c r="A41" s="13" t="s">
        <v>262</v>
      </c>
      <c r="B41" s="13" t="s">
        <v>50</v>
      </c>
      <c r="C41" s="14" t="s">
        <v>263</v>
      </c>
      <c r="D41" s="13" t="s">
        <v>264</v>
      </c>
      <c r="E41" s="14">
        <v>36558</v>
      </c>
      <c r="F41" s="14">
        <v>18900</v>
      </c>
      <c r="G41" s="15">
        <v>21000</v>
      </c>
      <c r="H41" s="14">
        <f t="shared" si="0"/>
        <v>21000</v>
      </c>
      <c r="I41" s="16" t="s">
        <v>36</v>
      </c>
      <c r="J41" s="17">
        <v>1</v>
      </c>
      <c r="K41" s="17">
        <v>0</v>
      </c>
      <c r="L41" s="16">
        <v>70</v>
      </c>
      <c r="M41" s="18">
        <v>0.875</v>
      </c>
      <c r="N41" s="19" t="s">
        <v>95</v>
      </c>
      <c r="O41" s="20" t="s">
        <v>265</v>
      </c>
      <c r="P41" s="21" t="s">
        <v>266</v>
      </c>
      <c r="Q41" s="21" t="s">
        <v>267</v>
      </c>
      <c r="R41" s="21" t="s">
        <v>268</v>
      </c>
      <c r="S41" s="20" t="s">
        <v>33</v>
      </c>
      <c r="T41" s="20" t="s">
        <v>269</v>
      </c>
    </row>
    <row r="42" spans="1:23" ht="145" x14ac:dyDescent="0.35">
      <c r="A42" s="13" t="s">
        <v>270</v>
      </c>
      <c r="B42" s="13" t="s">
        <v>50</v>
      </c>
      <c r="C42" s="14" t="s">
        <v>271</v>
      </c>
      <c r="D42" s="13" t="s">
        <v>88</v>
      </c>
      <c r="E42" s="14" t="s">
        <v>272</v>
      </c>
      <c r="F42" s="14" t="s">
        <v>273</v>
      </c>
      <c r="G42" s="15">
        <v>21000</v>
      </c>
      <c r="H42" s="14">
        <f t="shared" si="0"/>
        <v>21000</v>
      </c>
      <c r="I42" s="16" t="s">
        <v>25</v>
      </c>
      <c r="J42" s="17">
        <v>0</v>
      </c>
      <c r="K42" s="17">
        <v>1</v>
      </c>
      <c r="L42" s="16" t="s">
        <v>37</v>
      </c>
      <c r="M42" s="18" t="s">
        <v>68</v>
      </c>
      <c r="N42" s="19" t="s">
        <v>139</v>
      </c>
      <c r="O42" s="21" t="s">
        <v>274</v>
      </c>
      <c r="P42" s="21" t="s">
        <v>275</v>
      </c>
      <c r="Q42" s="21" t="s">
        <v>274</v>
      </c>
      <c r="R42" s="21" t="s">
        <v>276</v>
      </c>
      <c r="S42" s="21" t="s">
        <v>33</v>
      </c>
      <c r="T42" s="21" t="s">
        <v>277</v>
      </c>
    </row>
    <row r="43" spans="1:23" ht="145" x14ac:dyDescent="0.35">
      <c r="A43" s="13" t="s">
        <v>270</v>
      </c>
      <c r="B43" s="13" t="s">
        <v>50</v>
      </c>
      <c r="C43" s="14" t="s">
        <v>271</v>
      </c>
      <c r="D43" s="13" t="s">
        <v>278</v>
      </c>
      <c r="E43" s="14" t="s">
        <v>272</v>
      </c>
      <c r="F43" s="14" t="s">
        <v>273</v>
      </c>
      <c r="G43" s="15">
        <v>21000</v>
      </c>
      <c r="H43" s="14">
        <f t="shared" si="0"/>
        <v>21000</v>
      </c>
      <c r="I43" s="16" t="s">
        <v>66</v>
      </c>
      <c r="J43" s="17">
        <v>0</v>
      </c>
      <c r="K43" s="17">
        <v>1</v>
      </c>
      <c r="L43" s="16" t="s">
        <v>37</v>
      </c>
      <c r="M43" s="18" t="s">
        <v>62</v>
      </c>
      <c r="N43" s="19" t="s">
        <v>139</v>
      </c>
      <c r="O43" s="21" t="s">
        <v>274</v>
      </c>
      <c r="P43" s="21" t="s">
        <v>275</v>
      </c>
      <c r="Q43" s="21" t="s">
        <v>274</v>
      </c>
      <c r="R43" s="21" t="s">
        <v>276</v>
      </c>
      <c r="S43" s="21" t="s">
        <v>33</v>
      </c>
      <c r="T43" s="21" t="s">
        <v>277</v>
      </c>
    </row>
    <row r="44" spans="1:23" ht="145" x14ac:dyDescent="0.35">
      <c r="A44" s="13" t="s">
        <v>270</v>
      </c>
      <c r="B44" s="13" t="s">
        <v>50</v>
      </c>
      <c r="C44" s="14" t="s">
        <v>271</v>
      </c>
      <c r="D44" s="13" t="s">
        <v>279</v>
      </c>
      <c r="E44" s="14" t="s">
        <v>280</v>
      </c>
      <c r="F44" s="14" t="s">
        <v>273</v>
      </c>
      <c r="G44" s="15">
        <v>21000</v>
      </c>
      <c r="H44" s="14">
        <f t="shared" si="0"/>
        <v>21000</v>
      </c>
      <c r="I44" s="16" t="s">
        <v>25</v>
      </c>
      <c r="J44" s="17">
        <v>0</v>
      </c>
      <c r="K44" s="17">
        <v>1</v>
      </c>
      <c r="L44" s="16" t="s">
        <v>81</v>
      </c>
      <c r="M44" s="18" t="s">
        <v>38</v>
      </c>
      <c r="N44" s="19" t="s">
        <v>158</v>
      </c>
      <c r="O44" s="21" t="s">
        <v>281</v>
      </c>
      <c r="P44" s="21" t="s">
        <v>275</v>
      </c>
      <c r="Q44" s="21" t="s">
        <v>281</v>
      </c>
      <c r="R44" s="21" t="s">
        <v>276</v>
      </c>
      <c r="S44" s="21" t="s">
        <v>33</v>
      </c>
      <c r="T44" s="21" t="s">
        <v>277</v>
      </c>
    </row>
    <row r="45" spans="1:23" ht="145" x14ac:dyDescent="0.35">
      <c r="A45" s="13" t="s">
        <v>270</v>
      </c>
      <c r="B45" s="13" t="s">
        <v>50</v>
      </c>
      <c r="C45" s="14" t="s">
        <v>271</v>
      </c>
      <c r="D45" s="13" t="s">
        <v>282</v>
      </c>
      <c r="E45" s="14" t="s">
        <v>283</v>
      </c>
      <c r="F45" s="14" t="s">
        <v>284</v>
      </c>
      <c r="G45" s="15">
        <v>18000</v>
      </c>
      <c r="H45" s="14">
        <f t="shared" si="0"/>
        <v>18000</v>
      </c>
      <c r="I45" s="16" t="s">
        <v>25</v>
      </c>
      <c r="J45" s="17">
        <v>0</v>
      </c>
      <c r="K45" s="17">
        <v>1</v>
      </c>
      <c r="L45" s="16" t="s">
        <v>285</v>
      </c>
      <c r="M45" s="18" t="s">
        <v>38</v>
      </c>
      <c r="N45" s="19" t="s">
        <v>286</v>
      </c>
      <c r="O45" s="21" t="s">
        <v>287</v>
      </c>
      <c r="P45" s="21" t="s">
        <v>275</v>
      </c>
      <c r="Q45" s="21" t="s">
        <v>287</v>
      </c>
      <c r="R45" s="21" t="s">
        <v>276</v>
      </c>
      <c r="S45" s="21" t="s">
        <v>33</v>
      </c>
      <c r="T45" s="21" t="s">
        <v>277</v>
      </c>
    </row>
    <row r="46" spans="1:23" ht="145" x14ac:dyDescent="0.35">
      <c r="A46" s="13" t="s">
        <v>288</v>
      </c>
      <c r="B46" s="13" t="s">
        <v>50</v>
      </c>
      <c r="C46" s="14" t="s">
        <v>289</v>
      </c>
      <c r="D46" s="13" t="s">
        <v>104</v>
      </c>
      <c r="E46" s="14" t="s">
        <v>290</v>
      </c>
      <c r="F46" s="14" t="s">
        <v>291</v>
      </c>
      <c r="G46" s="15">
        <v>18000</v>
      </c>
      <c r="H46" s="14">
        <f t="shared" si="0"/>
        <v>18000</v>
      </c>
      <c r="I46" s="16" t="s">
        <v>36</v>
      </c>
      <c r="J46" s="17">
        <v>0</v>
      </c>
      <c r="K46" s="17">
        <v>0</v>
      </c>
      <c r="L46" s="16" t="s">
        <v>101</v>
      </c>
      <c r="M46" s="18">
        <v>0.95</v>
      </c>
      <c r="N46" s="19" t="s">
        <v>292</v>
      </c>
      <c r="O46" s="21" t="s">
        <v>293</v>
      </c>
      <c r="P46" s="21" t="s">
        <v>294</v>
      </c>
      <c r="Q46" s="21" t="s">
        <v>295</v>
      </c>
      <c r="R46" s="21" t="s">
        <v>296</v>
      </c>
      <c r="S46" s="21" t="s">
        <v>33</v>
      </c>
      <c r="T46" s="20" t="s">
        <v>297</v>
      </c>
    </row>
    <row r="47" spans="1:23" ht="145" x14ac:dyDescent="0.35">
      <c r="A47" s="13" t="s">
        <v>288</v>
      </c>
      <c r="B47" s="13" t="s">
        <v>50</v>
      </c>
      <c r="C47" s="14" t="s">
        <v>289</v>
      </c>
      <c r="D47" s="13" t="s">
        <v>298</v>
      </c>
      <c r="E47" s="14" t="s">
        <v>280</v>
      </c>
      <c r="F47" s="14" t="s">
        <v>299</v>
      </c>
      <c r="G47" s="15">
        <v>18000</v>
      </c>
      <c r="H47" s="14">
        <f t="shared" si="0"/>
        <v>18000</v>
      </c>
      <c r="I47" s="16">
        <v>12</v>
      </c>
      <c r="J47" s="17">
        <v>0</v>
      </c>
      <c r="K47" s="17">
        <v>0</v>
      </c>
      <c r="L47" s="16" t="s">
        <v>300</v>
      </c>
      <c r="M47" s="18">
        <v>0.95</v>
      </c>
      <c r="N47" s="19" t="s">
        <v>286</v>
      </c>
      <c r="O47" s="21" t="s">
        <v>301</v>
      </c>
      <c r="P47" s="21" t="s">
        <v>294</v>
      </c>
      <c r="Q47" s="21" t="s">
        <v>302</v>
      </c>
      <c r="R47" s="21" t="s">
        <v>296</v>
      </c>
      <c r="S47" s="21" t="s">
        <v>33</v>
      </c>
      <c r="T47" s="20" t="s">
        <v>297</v>
      </c>
    </row>
    <row r="48" spans="1:23" ht="145" x14ac:dyDescent="0.35">
      <c r="A48" s="13" t="s">
        <v>288</v>
      </c>
      <c r="B48" s="13" t="s">
        <v>50</v>
      </c>
      <c r="C48" s="14" t="s">
        <v>289</v>
      </c>
      <c r="D48" s="13" t="s">
        <v>303</v>
      </c>
      <c r="E48" s="14" t="s">
        <v>280</v>
      </c>
      <c r="F48" s="14" t="s">
        <v>299</v>
      </c>
      <c r="G48" s="15">
        <v>18000</v>
      </c>
      <c r="H48" s="14">
        <f t="shared" si="0"/>
        <v>18000</v>
      </c>
      <c r="I48" s="16">
        <v>12</v>
      </c>
      <c r="J48" s="17">
        <v>0</v>
      </c>
      <c r="K48" s="17">
        <v>0</v>
      </c>
      <c r="L48" s="16" t="s">
        <v>101</v>
      </c>
      <c r="M48" s="18">
        <v>0.95</v>
      </c>
      <c r="N48" s="19" t="s">
        <v>292</v>
      </c>
      <c r="O48" s="21" t="s">
        <v>304</v>
      </c>
      <c r="P48" s="21" t="s">
        <v>294</v>
      </c>
      <c r="Q48" s="21" t="s">
        <v>302</v>
      </c>
      <c r="R48" s="21" t="s">
        <v>296</v>
      </c>
      <c r="S48" s="21" t="s">
        <v>33</v>
      </c>
      <c r="T48" s="20" t="s">
        <v>297</v>
      </c>
    </row>
    <row r="49" spans="1:24" ht="145" x14ac:dyDescent="0.35">
      <c r="A49" s="13" t="s">
        <v>288</v>
      </c>
      <c r="B49" s="13" t="s">
        <v>50</v>
      </c>
      <c r="C49" s="14" t="s">
        <v>289</v>
      </c>
      <c r="D49" s="13" t="s">
        <v>305</v>
      </c>
      <c r="E49" s="14" t="s">
        <v>306</v>
      </c>
      <c r="F49" s="14" t="s">
        <v>307</v>
      </c>
      <c r="G49" s="15">
        <v>18000</v>
      </c>
      <c r="H49" s="14">
        <f t="shared" si="0"/>
        <v>18000</v>
      </c>
      <c r="I49" s="16" t="s">
        <v>66</v>
      </c>
      <c r="J49" s="17">
        <v>1</v>
      </c>
      <c r="K49" s="17">
        <v>1</v>
      </c>
      <c r="L49" s="16" t="s">
        <v>75</v>
      </c>
      <c r="M49" s="18">
        <v>0.95</v>
      </c>
      <c r="N49" s="19" t="s">
        <v>158</v>
      </c>
      <c r="O49" s="21" t="s">
        <v>308</v>
      </c>
      <c r="P49" s="21" t="s">
        <v>294</v>
      </c>
      <c r="Q49" s="21" t="s">
        <v>302</v>
      </c>
      <c r="R49" s="21" t="s">
        <v>296</v>
      </c>
      <c r="S49" s="21" t="s">
        <v>33</v>
      </c>
      <c r="T49" s="20" t="s">
        <v>297</v>
      </c>
    </row>
    <row r="50" spans="1:24" ht="145" x14ac:dyDescent="0.35">
      <c r="A50" s="13" t="s">
        <v>288</v>
      </c>
      <c r="B50" s="13" t="s">
        <v>50</v>
      </c>
      <c r="C50" s="14" t="s">
        <v>289</v>
      </c>
      <c r="D50" s="13" t="s">
        <v>309</v>
      </c>
      <c r="E50" s="14" t="s">
        <v>280</v>
      </c>
      <c r="F50" s="14" t="s">
        <v>299</v>
      </c>
      <c r="G50" s="15">
        <v>18000</v>
      </c>
      <c r="H50" s="14">
        <f t="shared" si="0"/>
        <v>18000</v>
      </c>
      <c r="I50" s="16">
        <v>12</v>
      </c>
      <c r="J50" s="17">
        <v>0</v>
      </c>
      <c r="K50" s="17">
        <v>0</v>
      </c>
      <c r="L50" s="16" t="s">
        <v>101</v>
      </c>
      <c r="M50" s="18">
        <v>0.95</v>
      </c>
      <c r="N50" s="19" t="s">
        <v>292</v>
      </c>
      <c r="O50" s="21" t="s">
        <v>301</v>
      </c>
      <c r="P50" s="21" t="s">
        <v>294</v>
      </c>
      <c r="Q50" s="21" t="s">
        <v>302</v>
      </c>
      <c r="R50" s="21" t="s">
        <v>296</v>
      </c>
      <c r="S50" s="21" t="s">
        <v>33</v>
      </c>
      <c r="T50" s="20" t="s">
        <v>297</v>
      </c>
    </row>
    <row r="51" spans="1:24" ht="145" x14ac:dyDescent="0.35">
      <c r="A51" s="13" t="s">
        <v>288</v>
      </c>
      <c r="B51" s="13" t="s">
        <v>50</v>
      </c>
      <c r="C51" s="14" t="s">
        <v>289</v>
      </c>
      <c r="D51" s="13" t="s">
        <v>73</v>
      </c>
      <c r="E51" s="14" t="s">
        <v>306</v>
      </c>
      <c r="F51" s="14" t="s">
        <v>307</v>
      </c>
      <c r="G51" s="15">
        <v>18000</v>
      </c>
      <c r="H51" s="14">
        <f t="shared" si="0"/>
        <v>18000</v>
      </c>
      <c r="I51" s="16">
        <v>12</v>
      </c>
      <c r="J51" s="17">
        <v>1</v>
      </c>
      <c r="K51" s="17">
        <v>1</v>
      </c>
      <c r="L51" s="16" t="s">
        <v>37</v>
      </c>
      <c r="M51" s="18">
        <v>0.95</v>
      </c>
      <c r="N51" s="19" t="s">
        <v>158</v>
      </c>
      <c r="O51" s="21" t="s">
        <v>310</v>
      </c>
      <c r="P51" s="21" t="s">
        <v>294</v>
      </c>
      <c r="Q51" s="21" t="s">
        <v>311</v>
      </c>
      <c r="R51" s="21" t="s">
        <v>296</v>
      </c>
      <c r="S51" s="21" t="s">
        <v>33</v>
      </c>
      <c r="T51" s="20" t="s">
        <v>297</v>
      </c>
    </row>
    <row r="52" spans="1:24" ht="145" x14ac:dyDescent="0.35">
      <c r="A52" s="13" t="s">
        <v>288</v>
      </c>
      <c r="B52" s="13" t="s">
        <v>50</v>
      </c>
      <c r="C52" s="14" t="s">
        <v>289</v>
      </c>
      <c r="D52" s="13" t="s">
        <v>35</v>
      </c>
      <c r="E52" s="14" t="s">
        <v>306</v>
      </c>
      <c r="F52" s="14" t="s">
        <v>307</v>
      </c>
      <c r="G52" s="15">
        <v>18000</v>
      </c>
      <c r="H52" s="14">
        <f t="shared" si="0"/>
        <v>18000</v>
      </c>
      <c r="I52" s="16" t="s">
        <v>36</v>
      </c>
      <c r="J52" s="17">
        <v>1</v>
      </c>
      <c r="K52" s="17">
        <v>1</v>
      </c>
      <c r="L52" s="16" t="s">
        <v>101</v>
      </c>
      <c r="M52" s="18">
        <v>0.95</v>
      </c>
      <c r="N52" s="19" t="s">
        <v>312</v>
      </c>
      <c r="O52" s="21" t="s">
        <v>313</v>
      </c>
      <c r="P52" s="21" t="s">
        <v>294</v>
      </c>
      <c r="Q52" s="21" t="s">
        <v>314</v>
      </c>
      <c r="R52" s="21" t="s">
        <v>296</v>
      </c>
      <c r="S52" s="21" t="s">
        <v>33</v>
      </c>
      <c r="T52" s="20" t="s">
        <v>297</v>
      </c>
    </row>
    <row r="53" spans="1:24" ht="145" x14ac:dyDescent="0.35">
      <c r="A53" s="13" t="s">
        <v>288</v>
      </c>
      <c r="B53" s="13" t="s">
        <v>50</v>
      </c>
      <c r="C53" s="14" t="s">
        <v>289</v>
      </c>
      <c r="D53" s="13" t="s">
        <v>315</v>
      </c>
      <c r="E53" s="14" t="s">
        <v>306</v>
      </c>
      <c r="F53" s="14" t="s">
        <v>307</v>
      </c>
      <c r="G53" s="15">
        <v>22000</v>
      </c>
      <c r="H53" s="14">
        <f t="shared" si="0"/>
        <v>22000</v>
      </c>
      <c r="I53" s="16" t="s">
        <v>36</v>
      </c>
      <c r="J53" s="17">
        <v>1</v>
      </c>
      <c r="K53" s="17">
        <v>1</v>
      </c>
      <c r="L53" s="16" t="s">
        <v>75</v>
      </c>
      <c r="M53" s="18">
        <v>0.95</v>
      </c>
      <c r="N53" s="19" t="s">
        <v>312</v>
      </c>
      <c r="O53" s="21" t="s">
        <v>316</v>
      </c>
      <c r="P53" s="21" t="s">
        <v>294</v>
      </c>
      <c r="Q53" s="21" t="s">
        <v>314</v>
      </c>
      <c r="R53" s="21" t="s">
        <v>296</v>
      </c>
      <c r="S53" s="21" t="s">
        <v>33</v>
      </c>
      <c r="T53" s="20" t="s">
        <v>297</v>
      </c>
    </row>
    <row r="54" spans="1:24" ht="145" x14ac:dyDescent="0.35">
      <c r="A54" s="13" t="s">
        <v>288</v>
      </c>
      <c r="B54" s="13" t="s">
        <v>50</v>
      </c>
      <c r="C54" s="14" t="s">
        <v>289</v>
      </c>
      <c r="D54" s="13" t="s">
        <v>135</v>
      </c>
      <c r="E54" s="14" t="s">
        <v>291</v>
      </c>
      <c r="F54" s="14" t="s">
        <v>317</v>
      </c>
      <c r="G54" s="15">
        <v>22000</v>
      </c>
      <c r="H54" s="14">
        <f t="shared" si="0"/>
        <v>22000</v>
      </c>
      <c r="I54" s="16">
        <v>16</v>
      </c>
      <c r="J54" s="17">
        <v>0</v>
      </c>
      <c r="K54" s="17">
        <v>0</v>
      </c>
      <c r="L54" s="16" t="s">
        <v>285</v>
      </c>
      <c r="M54" s="18">
        <v>0.95</v>
      </c>
      <c r="N54" s="19" t="s">
        <v>318</v>
      </c>
      <c r="O54" s="21" t="s">
        <v>319</v>
      </c>
      <c r="P54" s="21" t="s">
        <v>294</v>
      </c>
      <c r="Q54" s="21" t="s">
        <v>320</v>
      </c>
      <c r="R54" s="21" t="s">
        <v>296</v>
      </c>
      <c r="S54" s="21" t="s">
        <v>33</v>
      </c>
      <c r="T54" s="20" t="s">
        <v>297</v>
      </c>
    </row>
    <row r="55" spans="1:24" ht="145" x14ac:dyDescent="0.35">
      <c r="A55" s="13" t="s">
        <v>288</v>
      </c>
      <c r="B55" s="13" t="s">
        <v>50</v>
      </c>
      <c r="C55" s="14" t="s">
        <v>289</v>
      </c>
      <c r="D55" s="13" t="s">
        <v>321</v>
      </c>
      <c r="E55" s="14" t="s">
        <v>280</v>
      </c>
      <c r="F55" s="14" t="s">
        <v>299</v>
      </c>
      <c r="G55" s="15">
        <v>22000</v>
      </c>
      <c r="H55" s="14">
        <f t="shared" si="0"/>
        <v>22000</v>
      </c>
      <c r="I55" s="16">
        <v>12</v>
      </c>
      <c r="J55" s="17">
        <v>0</v>
      </c>
      <c r="K55" s="17">
        <v>0</v>
      </c>
      <c r="L55" s="16" t="s">
        <v>300</v>
      </c>
      <c r="M55" s="18">
        <v>0.95</v>
      </c>
      <c r="N55" s="19" t="s">
        <v>286</v>
      </c>
      <c r="O55" s="21" t="s">
        <v>301</v>
      </c>
      <c r="P55" s="21" t="s">
        <v>294</v>
      </c>
      <c r="Q55" s="21" t="s">
        <v>302</v>
      </c>
      <c r="R55" s="21" t="s">
        <v>296</v>
      </c>
      <c r="S55" s="20" t="s">
        <v>33</v>
      </c>
      <c r="T55" s="20" t="s">
        <v>297</v>
      </c>
    </row>
    <row r="56" spans="1:24" ht="145" x14ac:dyDescent="0.35">
      <c r="A56" s="13" t="s">
        <v>322</v>
      </c>
      <c r="B56" s="13" t="s">
        <v>50</v>
      </c>
      <c r="C56" s="14" t="s">
        <v>323</v>
      </c>
      <c r="D56" s="13" t="s">
        <v>35</v>
      </c>
      <c r="E56" s="14" t="s">
        <v>324</v>
      </c>
      <c r="F56" s="14" t="s">
        <v>325</v>
      </c>
      <c r="G56" s="15">
        <v>22000</v>
      </c>
      <c r="H56" s="14">
        <f t="shared" si="0"/>
        <v>22000</v>
      </c>
      <c r="I56" s="16" t="s">
        <v>214</v>
      </c>
      <c r="J56" s="17">
        <v>1</v>
      </c>
      <c r="K56" s="17">
        <v>1</v>
      </c>
      <c r="L56" s="16" t="s">
        <v>26</v>
      </c>
      <c r="M56" s="18">
        <v>0.97</v>
      </c>
      <c r="N56" s="19" t="s">
        <v>312</v>
      </c>
      <c r="O56" s="21" t="s">
        <v>326</v>
      </c>
      <c r="P56" s="21" t="s">
        <v>327</v>
      </c>
      <c r="Q56" s="21" t="s">
        <v>33</v>
      </c>
      <c r="R56" s="20" t="s">
        <v>328</v>
      </c>
      <c r="S56" s="20" t="s">
        <v>33</v>
      </c>
      <c r="T56" s="21" t="s">
        <v>328</v>
      </c>
    </row>
    <row r="57" spans="1:24" ht="145" x14ac:dyDescent="0.35">
      <c r="A57" s="13" t="s">
        <v>322</v>
      </c>
      <c r="B57" s="13" t="s">
        <v>50</v>
      </c>
      <c r="C57" s="14" t="s">
        <v>323</v>
      </c>
      <c r="D57" s="13" t="s">
        <v>135</v>
      </c>
      <c r="E57" s="14" t="s">
        <v>329</v>
      </c>
      <c r="F57" s="14" t="s">
        <v>330</v>
      </c>
      <c r="G57" s="15">
        <v>22000</v>
      </c>
      <c r="H57" s="14">
        <f t="shared" si="0"/>
        <v>22000</v>
      </c>
      <c r="I57" s="16">
        <v>12</v>
      </c>
      <c r="J57" s="17">
        <v>0</v>
      </c>
      <c r="K57" s="17">
        <v>0</v>
      </c>
      <c r="L57" s="16" t="s">
        <v>101</v>
      </c>
      <c r="M57" s="18">
        <v>0.97</v>
      </c>
      <c r="N57" s="19" t="s">
        <v>292</v>
      </c>
      <c r="O57" s="21" t="s">
        <v>331</v>
      </c>
      <c r="P57" s="21" t="s">
        <v>332</v>
      </c>
      <c r="Q57" s="21" t="s">
        <v>333</v>
      </c>
      <c r="R57" s="21" t="s">
        <v>327</v>
      </c>
      <c r="S57" s="20" t="s">
        <v>33</v>
      </c>
      <c r="T57" s="20" t="s">
        <v>328</v>
      </c>
    </row>
    <row r="58" spans="1:24" ht="145" x14ac:dyDescent="0.35">
      <c r="A58" s="13" t="s">
        <v>334</v>
      </c>
      <c r="B58" s="13" t="s">
        <v>50</v>
      </c>
      <c r="C58" s="14" t="s">
        <v>335</v>
      </c>
      <c r="D58" s="13" t="s">
        <v>336</v>
      </c>
      <c r="E58" s="14" t="s">
        <v>280</v>
      </c>
      <c r="F58" s="14" t="s">
        <v>284</v>
      </c>
      <c r="G58" s="15">
        <v>21000</v>
      </c>
      <c r="H58" s="14">
        <f t="shared" ref="H58:H95" si="1">IF(ISNUMBER(G58),G58,AVERAGE(VALUE(TRIM(LEFT(SUBSTITUTE(G58,"–","-"),FIND("-",SUBSTITUTE(G58,"–","-"))-1))),VALUE(TRIM(MID(SUBSTITUTE(G58,"–","-"),FIND("-",SUBSTITUTE(G58,"–","-"))+1,100)))))</f>
        <v>21000</v>
      </c>
      <c r="I58" s="16" t="s">
        <v>36</v>
      </c>
      <c r="J58" s="17">
        <v>0</v>
      </c>
      <c r="K58" s="17">
        <v>0</v>
      </c>
      <c r="L58" s="16" t="s">
        <v>75</v>
      </c>
      <c r="M58" s="18">
        <v>0.92</v>
      </c>
      <c r="N58" s="19" t="s">
        <v>286</v>
      </c>
      <c r="O58" s="21" t="s">
        <v>337</v>
      </c>
      <c r="P58" s="21" t="s">
        <v>338</v>
      </c>
      <c r="Q58" s="21" t="s">
        <v>337</v>
      </c>
      <c r="R58" s="21" t="s">
        <v>339</v>
      </c>
      <c r="S58" s="21" t="s">
        <v>33</v>
      </c>
      <c r="T58" s="23" t="s">
        <v>340</v>
      </c>
      <c r="U58" s="12"/>
      <c r="V58" s="12"/>
      <c r="W58" s="12"/>
      <c r="X58" s="12"/>
    </row>
    <row r="59" spans="1:24" ht="145" x14ac:dyDescent="0.35">
      <c r="A59" s="13" t="s">
        <v>334</v>
      </c>
      <c r="B59" s="13" t="s">
        <v>50</v>
      </c>
      <c r="C59" s="14" t="s">
        <v>335</v>
      </c>
      <c r="D59" s="13" t="s">
        <v>341</v>
      </c>
      <c r="E59" s="14" t="s">
        <v>280</v>
      </c>
      <c r="F59" s="14" t="s">
        <v>284</v>
      </c>
      <c r="G59" s="15">
        <v>21000</v>
      </c>
      <c r="H59" s="14">
        <f t="shared" si="1"/>
        <v>21000</v>
      </c>
      <c r="I59" s="16" t="s">
        <v>36</v>
      </c>
      <c r="J59" s="17">
        <v>0</v>
      </c>
      <c r="K59" s="17">
        <v>0</v>
      </c>
      <c r="L59" s="16" t="s">
        <v>285</v>
      </c>
      <c r="M59" s="18">
        <v>0.92</v>
      </c>
      <c r="N59" s="19" t="s">
        <v>286</v>
      </c>
      <c r="O59" s="21" t="s">
        <v>342</v>
      </c>
      <c r="P59" s="21" t="s">
        <v>338</v>
      </c>
      <c r="Q59" s="21" t="s">
        <v>342</v>
      </c>
      <c r="R59" s="21" t="s">
        <v>339</v>
      </c>
      <c r="S59" s="21" t="s">
        <v>33</v>
      </c>
      <c r="T59" s="23" t="s">
        <v>340</v>
      </c>
      <c r="U59" s="12"/>
      <c r="V59" s="12"/>
      <c r="W59" s="12"/>
      <c r="X59" s="12"/>
    </row>
    <row r="60" spans="1:24" ht="145" x14ac:dyDescent="0.35">
      <c r="A60" s="13" t="s">
        <v>343</v>
      </c>
      <c r="B60" s="13" t="s">
        <v>50</v>
      </c>
      <c r="C60" s="14" t="s">
        <v>344</v>
      </c>
      <c r="D60" s="13" t="s">
        <v>35</v>
      </c>
      <c r="E60" s="14" t="s">
        <v>345</v>
      </c>
      <c r="F60" s="14" t="s">
        <v>346</v>
      </c>
      <c r="G60" s="15">
        <v>20000</v>
      </c>
      <c r="H60" s="14">
        <f t="shared" si="1"/>
        <v>20000</v>
      </c>
      <c r="I60" s="16" t="s">
        <v>25</v>
      </c>
      <c r="J60" s="17">
        <v>1</v>
      </c>
      <c r="K60" s="17">
        <v>1</v>
      </c>
      <c r="L60" s="16" t="s">
        <v>81</v>
      </c>
      <c r="M60" s="18" t="s">
        <v>347</v>
      </c>
      <c r="N60" s="19" t="s">
        <v>139</v>
      </c>
      <c r="O60" s="21" t="s">
        <v>348</v>
      </c>
      <c r="P60" s="21" t="s">
        <v>349</v>
      </c>
      <c r="Q60" s="21" t="s">
        <v>350</v>
      </c>
      <c r="R60" s="21" t="s">
        <v>351</v>
      </c>
      <c r="S60" s="21" t="s">
        <v>33</v>
      </c>
      <c r="T60" s="20" t="s">
        <v>352</v>
      </c>
    </row>
    <row r="61" spans="1:24" ht="145" x14ac:dyDescent="0.35">
      <c r="A61" s="13" t="s">
        <v>343</v>
      </c>
      <c r="B61" s="13" t="s">
        <v>50</v>
      </c>
      <c r="C61" s="14" t="s">
        <v>344</v>
      </c>
      <c r="D61" s="13" t="s">
        <v>353</v>
      </c>
      <c r="E61" s="14" t="s">
        <v>354</v>
      </c>
      <c r="F61" s="14" t="s">
        <v>355</v>
      </c>
      <c r="G61" s="15">
        <v>20000</v>
      </c>
      <c r="H61" s="14">
        <f t="shared" si="1"/>
        <v>20000</v>
      </c>
      <c r="I61" s="16" t="s">
        <v>36</v>
      </c>
      <c r="J61" s="17">
        <v>1</v>
      </c>
      <c r="K61" s="17">
        <v>1</v>
      </c>
      <c r="L61" s="16" t="s">
        <v>285</v>
      </c>
      <c r="M61" s="18" t="s">
        <v>347</v>
      </c>
      <c r="N61" s="19" t="s">
        <v>158</v>
      </c>
      <c r="O61" s="21" t="s">
        <v>356</v>
      </c>
      <c r="P61" s="21" t="s">
        <v>349</v>
      </c>
      <c r="Q61" s="21" t="s">
        <v>357</v>
      </c>
      <c r="R61" s="21" t="s">
        <v>351</v>
      </c>
      <c r="S61" s="21" t="s">
        <v>33</v>
      </c>
      <c r="T61" s="20" t="s">
        <v>352</v>
      </c>
    </row>
    <row r="62" spans="1:24" ht="145" x14ac:dyDescent="0.35">
      <c r="A62" s="13" t="s">
        <v>343</v>
      </c>
      <c r="B62" s="13" t="s">
        <v>50</v>
      </c>
      <c r="C62" s="14" t="s">
        <v>344</v>
      </c>
      <c r="D62" s="13" t="s">
        <v>135</v>
      </c>
      <c r="E62" s="14" t="s">
        <v>358</v>
      </c>
      <c r="F62" s="14" t="s">
        <v>359</v>
      </c>
      <c r="G62" s="15">
        <v>20000</v>
      </c>
      <c r="H62" s="14">
        <f t="shared" si="1"/>
        <v>20000</v>
      </c>
      <c r="I62" s="16" t="s">
        <v>25</v>
      </c>
      <c r="J62" s="17">
        <v>0</v>
      </c>
      <c r="K62" s="17">
        <v>0</v>
      </c>
      <c r="L62" s="16" t="s">
        <v>22</v>
      </c>
      <c r="M62" s="18" t="s">
        <v>347</v>
      </c>
      <c r="N62" s="19" t="s">
        <v>318</v>
      </c>
      <c r="O62" s="21" t="s">
        <v>360</v>
      </c>
      <c r="P62" s="21" t="s">
        <v>349</v>
      </c>
      <c r="Q62" s="21" t="s">
        <v>361</v>
      </c>
      <c r="R62" s="21" t="s">
        <v>351</v>
      </c>
      <c r="S62" s="21" t="s">
        <v>33</v>
      </c>
      <c r="T62" s="20" t="s">
        <v>352</v>
      </c>
    </row>
    <row r="63" spans="1:24" ht="145" x14ac:dyDescent="0.35">
      <c r="A63" s="13" t="s">
        <v>362</v>
      </c>
      <c r="B63" s="13" t="s">
        <v>50</v>
      </c>
      <c r="C63" s="14" t="s">
        <v>335</v>
      </c>
      <c r="D63" s="13" t="s">
        <v>35</v>
      </c>
      <c r="E63" s="14" t="s">
        <v>363</v>
      </c>
      <c r="F63" s="14" t="s">
        <v>364</v>
      </c>
      <c r="G63" s="15">
        <v>19000</v>
      </c>
      <c r="H63" s="14">
        <f t="shared" si="1"/>
        <v>19000</v>
      </c>
      <c r="I63" s="16">
        <v>12</v>
      </c>
      <c r="J63" s="17">
        <v>1</v>
      </c>
      <c r="K63" s="17">
        <v>1</v>
      </c>
      <c r="L63" s="16" t="s">
        <v>285</v>
      </c>
      <c r="M63" s="18" t="s">
        <v>365</v>
      </c>
      <c r="N63" s="19" t="s">
        <v>292</v>
      </c>
      <c r="O63" s="21" t="s">
        <v>366</v>
      </c>
      <c r="P63" s="21" t="s">
        <v>367</v>
      </c>
      <c r="Q63" s="21" t="s">
        <v>366</v>
      </c>
      <c r="R63" s="21" t="s">
        <v>368</v>
      </c>
      <c r="S63" s="21" t="s">
        <v>33</v>
      </c>
      <c r="T63" s="21" t="s">
        <v>368</v>
      </c>
    </row>
    <row r="64" spans="1:24" ht="174" x14ac:dyDescent="0.35">
      <c r="A64" s="13" t="s">
        <v>369</v>
      </c>
      <c r="B64" s="13" t="s">
        <v>50</v>
      </c>
      <c r="C64" s="14" t="s">
        <v>370</v>
      </c>
      <c r="D64" s="13" t="s">
        <v>371</v>
      </c>
      <c r="E64" s="14" t="s">
        <v>283</v>
      </c>
      <c r="F64" s="14" t="s">
        <v>372</v>
      </c>
      <c r="G64" s="15">
        <v>19000</v>
      </c>
      <c r="H64" s="14">
        <f t="shared" si="1"/>
        <v>19000</v>
      </c>
      <c r="I64" s="16" t="s">
        <v>25</v>
      </c>
      <c r="J64" s="17">
        <v>0</v>
      </c>
      <c r="K64" s="17">
        <v>0</v>
      </c>
      <c r="L64" s="16" t="s">
        <v>37</v>
      </c>
      <c r="M64" s="18" t="s">
        <v>373</v>
      </c>
      <c r="N64" s="19" t="s">
        <v>158</v>
      </c>
      <c r="O64" s="21" t="s">
        <v>374</v>
      </c>
      <c r="P64" s="21" t="s">
        <v>375</v>
      </c>
      <c r="Q64" s="21" t="s">
        <v>374</v>
      </c>
      <c r="R64" s="21" t="s">
        <v>376</v>
      </c>
      <c r="S64" s="21" t="s">
        <v>33</v>
      </c>
      <c r="T64" s="21" t="s">
        <v>377</v>
      </c>
    </row>
    <row r="65" spans="1:20" ht="145" x14ac:dyDescent="0.35">
      <c r="A65" s="13" t="s">
        <v>369</v>
      </c>
      <c r="B65" s="13" t="s">
        <v>50</v>
      </c>
      <c r="C65" s="14" t="s">
        <v>370</v>
      </c>
      <c r="D65" s="13" t="s">
        <v>378</v>
      </c>
      <c r="E65" s="14" t="s">
        <v>318</v>
      </c>
      <c r="F65" s="14" t="s">
        <v>329</v>
      </c>
      <c r="G65" s="15">
        <v>19000</v>
      </c>
      <c r="H65" s="14">
        <f t="shared" si="1"/>
        <v>19000</v>
      </c>
      <c r="I65" s="16" t="s">
        <v>36</v>
      </c>
      <c r="J65" s="17">
        <v>1</v>
      </c>
      <c r="K65" s="17">
        <v>0</v>
      </c>
      <c r="L65" s="16" t="s">
        <v>285</v>
      </c>
      <c r="M65" s="18" t="s">
        <v>373</v>
      </c>
      <c r="N65" s="19" t="s">
        <v>379</v>
      </c>
      <c r="O65" s="21" t="s">
        <v>380</v>
      </c>
      <c r="P65" s="21" t="s">
        <v>375</v>
      </c>
      <c r="Q65" s="21" t="s">
        <v>380</v>
      </c>
      <c r="R65" s="21" t="s">
        <v>376</v>
      </c>
      <c r="S65" s="21" t="s">
        <v>33</v>
      </c>
      <c r="T65" s="21" t="s">
        <v>377</v>
      </c>
    </row>
    <row r="66" spans="1:20" ht="145" x14ac:dyDescent="0.35">
      <c r="A66" s="13" t="s">
        <v>369</v>
      </c>
      <c r="B66" s="13" t="s">
        <v>50</v>
      </c>
      <c r="C66" s="14" t="s">
        <v>370</v>
      </c>
      <c r="D66" s="13" t="s">
        <v>104</v>
      </c>
      <c r="E66" s="14" t="s">
        <v>381</v>
      </c>
      <c r="F66" s="14" t="s">
        <v>382</v>
      </c>
      <c r="G66" s="15">
        <v>20000</v>
      </c>
      <c r="H66" s="14">
        <f t="shared" si="1"/>
        <v>20000</v>
      </c>
      <c r="I66" s="16" t="s">
        <v>243</v>
      </c>
      <c r="J66" s="17">
        <v>1</v>
      </c>
      <c r="K66" s="17">
        <v>0</v>
      </c>
      <c r="L66" s="16" t="s">
        <v>383</v>
      </c>
      <c r="M66" s="18" t="s">
        <v>373</v>
      </c>
      <c r="N66" s="19" t="s">
        <v>158</v>
      </c>
      <c r="O66" s="21" t="s">
        <v>384</v>
      </c>
      <c r="P66" s="21" t="s">
        <v>375</v>
      </c>
      <c r="Q66" s="21" t="s">
        <v>384</v>
      </c>
      <c r="R66" s="21" t="s">
        <v>376</v>
      </c>
      <c r="S66" s="21" t="s">
        <v>33</v>
      </c>
      <c r="T66" s="21" t="s">
        <v>377</v>
      </c>
    </row>
    <row r="67" spans="1:20" ht="145" x14ac:dyDescent="0.35">
      <c r="A67" s="13" t="s">
        <v>369</v>
      </c>
      <c r="B67" s="13" t="s">
        <v>50</v>
      </c>
      <c r="C67" s="14" t="s">
        <v>370</v>
      </c>
      <c r="D67" s="13" t="s">
        <v>385</v>
      </c>
      <c r="E67" s="14" t="s">
        <v>386</v>
      </c>
      <c r="F67" s="14" t="s">
        <v>299</v>
      </c>
      <c r="G67" s="15">
        <v>20000</v>
      </c>
      <c r="H67" s="14">
        <f t="shared" si="1"/>
        <v>20000</v>
      </c>
      <c r="I67" s="16" t="s">
        <v>36</v>
      </c>
      <c r="J67" s="17">
        <v>1</v>
      </c>
      <c r="K67" s="17">
        <v>0</v>
      </c>
      <c r="L67" s="16" t="s">
        <v>26</v>
      </c>
      <c r="M67" s="18" t="s">
        <v>373</v>
      </c>
      <c r="N67" s="19" t="s">
        <v>312</v>
      </c>
      <c r="O67" s="21" t="s">
        <v>387</v>
      </c>
      <c r="P67" s="21" t="s">
        <v>375</v>
      </c>
      <c r="Q67" s="21" t="s">
        <v>387</v>
      </c>
      <c r="R67" s="21" t="s">
        <v>376</v>
      </c>
      <c r="S67" s="21" t="s">
        <v>33</v>
      </c>
      <c r="T67" s="21" t="s">
        <v>377</v>
      </c>
    </row>
    <row r="68" spans="1:20" ht="145" x14ac:dyDescent="0.35">
      <c r="A68" s="13" t="s">
        <v>369</v>
      </c>
      <c r="B68" s="13" t="s">
        <v>50</v>
      </c>
      <c r="C68" s="14" t="s">
        <v>370</v>
      </c>
      <c r="D68" s="13" t="s">
        <v>388</v>
      </c>
      <c r="E68" s="14" t="s">
        <v>389</v>
      </c>
      <c r="F68" s="14" t="s">
        <v>390</v>
      </c>
      <c r="G68" s="15">
        <v>20000</v>
      </c>
      <c r="H68" s="14">
        <f t="shared" si="1"/>
        <v>20000</v>
      </c>
      <c r="I68" s="16">
        <v>12</v>
      </c>
      <c r="J68" s="17">
        <v>0</v>
      </c>
      <c r="K68" s="17">
        <v>0</v>
      </c>
      <c r="L68" s="16" t="s">
        <v>81</v>
      </c>
      <c r="M68" s="18" t="s">
        <v>373</v>
      </c>
      <c r="N68" s="19" t="s">
        <v>286</v>
      </c>
      <c r="O68" s="21" t="s">
        <v>391</v>
      </c>
      <c r="P68" s="21" t="s">
        <v>375</v>
      </c>
      <c r="Q68" s="21" t="s">
        <v>391</v>
      </c>
      <c r="R68" s="21" t="s">
        <v>376</v>
      </c>
      <c r="S68" s="21" t="s">
        <v>33</v>
      </c>
      <c r="T68" s="21" t="s">
        <v>377</v>
      </c>
    </row>
    <row r="69" spans="1:20" ht="145" x14ac:dyDescent="0.35">
      <c r="A69" s="13" t="s">
        <v>369</v>
      </c>
      <c r="B69" s="13" t="s">
        <v>50</v>
      </c>
      <c r="C69" s="14" t="s">
        <v>370</v>
      </c>
      <c r="D69" s="13" t="s">
        <v>392</v>
      </c>
      <c r="E69" s="14" t="s">
        <v>393</v>
      </c>
      <c r="F69" s="14" t="s">
        <v>394</v>
      </c>
      <c r="G69" s="24">
        <v>20000</v>
      </c>
      <c r="H69" s="14">
        <f t="shared" si="1"/>
        <v>20000</v>
      </c>
      <c r="I69" s="16" t="s">
        <v>36</v>
      </c>
      <c r="J69" s="17">
        <v>1</v>
      </c>
      <c r="K69" s="17">
        <v>0</v>
      </c>
      <c r="L69" s="16" t="s">
        <v>37</v>
      </c>
      <c r="M69" s="18" t="s">
        <v>373</v>
      </c>
      <c r="N69" s="19" t="s">
        <v>312</v>
      </c>
      <c r="O69" s="21" t="s">
        <v>387</v>
      </c>
      <c r="P69" s="21" t="s">
        <v>375</v>
      </c>
      <c r="Q69" s="21" t="s">
        <v>387</v>
      </c>
      <c r="R69" s="21" t="s">
        <v>376</v>
      </c>
      <c r="S69" s="21" t="s">
        <v>33</v>
      </c>
      <c r="T69" s="21" t="s">
        <v>377</v>
      </c>
    </row>
    <row r="70" spans="1:20" ht="145" x14ac:dyDescent="0.35">
      <c r="A70" s="13" t="s">
        <v>369</v>
      </c>
      <c r="B70" s="13" t="s">
        <v>50</v>
      </c>
      <c r="C70" s="14" t="s">
        <v>370</v>
      </c>
      <c r="D70" s="13" t="s">
        <v>395</v>
      </c>
      <c r="E70" s="14" t="s">
        <v>393</v>
      </c>
      <c r="F70" s="14" t="s">
        <v>394</v>
      </c>
      <c r="G70" s="24">
        <v>20000</v>
      </c>
      <c r="H70" s="14">
        <f t="shared" si="1"/>
        <v>20000</v>
      </c>
      <c r="I70" s="16" t="s">
        <v>214</v>
      </c>
      <c r="J70" s="17">
        <v>0</v>
      </c>
      <c r="K70" s="17">
        <v>0</v>
      </c>
      <c r="L70" s="16" t="s">
        <v>37</v>
      </c>
      <c r="M70" s="18" t="s">
        <v>373</v>
      </c>
      <c r="N70" s="19" t="s">
        <v>124</v>
      </c>
      <c r="O70" s="21" t="s">
        <v>387</v>
      </c>
      <c r="P70" s="21" t="s">
        <v>375</v>
      </c>
      <c r="Q70" s="21" t="s">
        <v>387</v>
      </c>
      <c r="R70" s="21" t="s">
        <v>376</v>
      </c>
      <c r="S70" s="21" t="s">
        <v>33</v>
      </c>
      <c r="T70" s="21" t="s">
        <v>377</v>
      </c>
    </row>
    <row r="71" spans="1:20" ht="145" x14ac:dyDescent="0.35">
      <c r="A71" s="13" t="s">
        <v>369</v>
      </c>
      <c r="B71" s="13" t="s">
        <v>50</v>
      </c>
      <c r="C71" s="14" t="s">
        <v>370</v>
      </c>
      <c r="D71" s="13" t="s">
        <v>396</v>
      </c>
      <c r="E71" s="14" t="s">
        <v>393</v>
      </c>
      <c r="F71" s="14" t="s">
        <v>394</v>
      </c>
      <c r="G71" s="24">
        <v>20000</v>
      </c>
      <c r="H71" s="14">
        <f t="shared" si="1"/>
        <v>20000</v>
      </c>
      <c r="I71" s="16" t="s">
        <v>66</v>
      </c>
      <c r="J71" s="17">
        <v>0</v>
      </c>
      <c r="K71" s="17">
        <v>0</v>
      </c>
      <c r="L71" s="16" t="s">
        <v>75</v>
      </c>
      <c r="M71" s="18" t="s">
        <v>373</v>
      </c>
      <c r="N71" s="19" t="s">
        <v>312</v>
      </c>
      <c r="O71" s="21" t="s">
        <v>397</v>
      </c>
      <c r="P71" s="21" t="s">
        <v>375</v>
      </c>
      <c r="Q71" s="21" t="s">
        <v>397</v>
      </c>
      <c r="R71" s="21" t="s">
        <v>376</v>
      </c>
      <c r="S71" s="21" t="s">
        <v>33</v>
      </c>
      <c r="T71" s="21" t="s">
        <v>377</v>
      </c>
    </row>
    <row r="72" spans="1:20" ht="145" x14ac:dyDescent="0.35">
      <c r="A72" s="13" t="s">
        <v>398</v>
      </c>
      <c r="B72" s="13" t="s">
        <v>50</v>
      </c>
      <c r="C72" s="14" t="s">
        <v>399</v>
      </c>
      <c r="D72" s="13" t="s">
        <v>35</v>
      </c>
      <c r="E72" s="14" t="s">
        <v>400</v>
      </c>
      <c r="F72" s="14" t="s">
        <v>401</v>
      </c>
      <c r="G72" s="24">
        <v>20000</v>
      </c>
      <c r="H72" s="14">
        <f t="shared" si="1"/>
        <v>20000</v>
      </c>
      <c r="I72" s="16" t="s">
        <v>66</v>
      </c>
      <c r="J72" s="17">
        <v>1</v>
      </c>
      <c r="K72" s="17">
        <v>1</v>
      </c>
      <c r="L72" s="16" t="s">
        <v>101</v>
      </c>
      <c r="M72" s="18" t="s">
        <v>152</v>
      </c>
      <c r="N72" s="19" t="s">
        <v>124</v>
      </c>
      <c r="O72" s="21" t="s">
        <v>402</v>
      </c>
      <c r="P72" s="21" t="s">
        <v>403</v>
      </c>
      <c r="Q72" s="21" t="s">
        <v>402</v>
      </c>
      <c r="R72" s="21" t="s">
        <v>404</v>
      </c>
      <c r="S72" s="21" t="s">
        <v>33</v>
      </c>
      <c r="T72" s="21" t="s">
        <v>405</v>
      </c>
    </row>
    <row r="73" spans="1:20" ht="145" x14ac:dyDescent="0.35">
      <c r="A73" s="13" t="s">
        <v>398</v>
      </c>
      <c r="B73" s="13" t="s">
        <v>50</v>
      </c>
      <c r="C73" s="14" t="s">
        <v>399</v>
      </c>
      <c r="D73" s="13" t="s">
        <v>278</v>
      </c>
      <c r="E73" s="14" t="s">
        <v>406</v>
      </c>
      <c r="F73" s="14" t="s">
        <v>407</v>
      </c>
      <c r="G73" s="24">
        <v>20000</v>
      </c>
      <c r="H73" s="14">
        <f t="shared" si="1"/>
        <v>20000</v>
      </c>
      <c r="I73" s="16" t="s">
        <v>214</v>
      </c>
      <c r="J73" s="17">
        <v>0</v>
      </c>
      <c r="K73" s="17">
        <v>1</v>
      </c>
      <c r="L73" s="16" t="s">
        <v>101</v>
      </c>
      <c r="M73" s="18" t="s">
        <v>152</v>
      </c>
      <c r="N73" s="19" t="s">
        <v>124</v>
      </c>
      <c r="O73" s="21" t="s">
        <v>408</v>
      </c>
      <c r="P73" s="21" t="s">
        <v>403</v>
      </c>
      <c r="Q73" s="21" t="s">
        <v>408</v>
      </c>
      <c r="R73" s="21" t="s">
        <v>404</v>
      </c>
      <c r="S73" s="21" t="s">
        <v>33</v>
      </c>
      <c r="T73" s="21" t="s">
        <v>405</v>
      </c>
    </row>
    <row r="74" spans="1:20" ht="145" x14ac:dyDescent="0.35">
      <c r="A74" s="13" t="s">
        <v>398</v>
      </c>
      <c r="B74" s="13" t="s">
        <v>50</v>
      </c>
      <c r="C74" s="14" t="s">
        <v>399</v>
      </c>
      <c r="D74" s="13" t="s">
        <v>409</v>
      </c>
      <c r="E74" s="14" t="s">
        <v>139</v>
      </c>
      <c r="F74" s="14" t="s">
        <v>410</v>
      </c>
      <c r="G74" s="24">
        <v>20000</v>
      </c>
      <c r="H74" s="14">
        <f t="shared" si="1"/>
        <v>20000</v>
      </c>
      <c r="I74" s="16">
        <v>8</v>
      </c>
      <c r="J74" s="17">
        <v>0</v>
      </c>
      <c r="K74" s="17">
        <v>0</v>
      </c>
      <c r="L74" s="16" t="s">
        <v>75</v>
      </c>
      <c r="M74" s="18" t="s">
        <v>152</v>
      </c>
      <c r="N74" s="19" t="s">
        <v>312</v>
      </c>
      <c r="O74" s="21" t="s">
        <v>411</v>
      </c>
      <c r="P74" s="21" t="s">
        <v>403</v>
      </c>
      <c r="Q74" s="21" t="s">
        <v>411</v>
      </c>
      <c r="R74" s="21" t="s">
        <v>404</v>
      </c>
      <c r="S74" s="21" t="s">
        <v>33</v>
      </c>
      <c r="T74" s="21" t="s">
        <v>405</v>
      </c>
    </row>
    <row r="75" spans="1:20" ht="145" x14ac:dyDescent="0.35">
      <c r="A75" s="13" t="s">
        <v>412</v>
      </c>
      <c r="B75" s="13" t="s">
        <v>50</v>
      </c>
      <c r="C75" s="14">
        <v>0</v>
      </c>
      <c r="D75" s="13" t="s">
        <v>413</v>
      </c>
      <c r="E75" s="14" t="s">
        <v>414</v>
      </c>
      <c r="F75" s="14" t="s">
        <v>299</v>
      </c>
      <c r="G75" s="24">
        <v>20000</v>
      </c>
      <c r="H75" s="14">
        <f t="shared" si="1"/>
        <v>20000</v>
      </c>
      <c r="I75" s="16" t="s">
        <v>415</v>
      </c>
      <c r="J75" s="17">
        <v>0</v>
      </c>
      <c r="K75" s="17">
        <v>0</v>
      </c>
      <c r="L75" s="16" t="s">
        <v>75</v>
      </c>
      <c r="M75" s="18" t="s">
        <v>62</v>
      </c>
      <c r="N75" s="19" t="s">
        <v>286</v>
      </c>
      <c r="O75" s="21" t="s">
        <v>416</v>
      </c>
      <c r="P75" s="21" t="s">
        <v>417</v>
      </c>
      <c r="Q75" s="21" t="s">
        <v>416</v>
      </c>
      <c r="R75" s="21" t="s">
        <v>418</v>
      </c>
      <c r="S75" s="21" t="s">
        <v>33</v>
      </c>
      <c r="T75" s="21" t="s">
        <v>419</v>
      </c>
    </row>
    <row r="76" spans="1:20" ht="145" x14ac:dyDescent="0.35">
      <c r="A76" s="13" t="s">
        <v>412</v>
      </c>
      <c r="B76" s="13" t="s">
        <v>50</v>
      </c>
      <c r="C76" s="14">
        <v>0</v>
      </c>
      <c r="D76" s="13" t="s">
        <v>420</v>
      </c>
      <c r="E76" s="14" t="s">
        <v>421</v>
      </c>
      <c r="F76" s="14" t="s">
        <v>284</v>
      </c>
      <c r="G76" s="24">
        <v>18000</v>
      </c>
      <c r="H76" s="14">
        <f t="shared" si="1"/>
        <v>18000</v>
      </c>
      <c r="I76" s="16" t="s">
        <v>415</v>
      </c>
      <c r="J76" s="17">
        <v>0</v>
      </c>
      <c r="K76" s="17">
        <v>0</v>
      </c>
      <c r="L76" s="16" t="s">
        <v>37</v>
      </c>
      <c r="M76" s="18" t="s">
        <v>62</v>
      </c>
      <c r="N76" s="19" t="s">
        <v>139</v>
      </c>
      <c r="O76" s="21" t="s">
        <v>422</v>
      </c>
      <c r="P76" s="21" t="s">
        <v>417</v>
      </c>
      <c r="Q76" s="21" t="s">
        <v>422</v>
      </c>
      <c r="R76" s="21" t="s">
        <v>418</v>
      </c>
      <c r="S76" s="21" t="s">
        <v>33</v>
      </c>
      <c r="T76" s="21" t="s">
        <v>419</v>
      </c>
    </row>
    <row r="77" spans="1:20" ht="145" x14ac:dyDescent="0.35">
      <c r="A77" s="13" t="s">
        <v>412</v>
      </c>
      <c r="B77" s="13" t="s">
        <v>50</v>
      </c>
      <c r="C77" s="14">
        <v>0</v>
      </c>
      <c r="D77" s="13" t="s">
        <v>423</v>
      </c>
      <c r="E77" s="14" t="s">
        <v>424</v>
      </c>
      <c r="F77" s="14" t="s">
        <v>299</v>
      </c>
      <c r="G77" s="24">
        <v>18000</v>
      </c>
      <c r="H77" s="14">
        <f t="shared" si="1"/>
        <v>18000</v>
      </c>
      <c r="I77" s="16" t="s">
        <v>415</v>
      </c>
      <c r="J77" s="17">
        <v>0</v>
      </c>
      <c r="K77" s="17">
        <v>0</v>
      </c>
      <c r="L77" s="16" t="s">
        <v>81</v>
      </c>
      <c r="M77" s="18" t="s">
        <v>62</v>
      </c>
      <c r="N77" s="19" t="s">
        <v>286</v>
      </c>
      <c r="O77" s="21" t="s">
        <v>425</v>
      </c>
      <c r="P77" s="21" t="s">
        <v>417</v>
      </c>
      <c r="Q77" s="21" t="s">
        <v>425</v>
      </c>
      <c r="R77" s="21" t="s">
        <v>418</v>
      </c>
      <c r="S77" s="21" t="s">
        <v>33</v>
      </c>
      <c r="T77" s="21" t="s">
        <v>419</v>
      </c>
    </row>
    <row r="78" spans="1:20" ht="145" x14ac:dyDescent="0.35">
      <c r="A78" s="13" t="s">
        <v>412</v>
      </c>
      <c r="B78" s="13" t="s">
        <v>50</v>
      </c>
      <c r="C78" s="14">
        <v>0</v>
      </c>
      <c r="D78" s="13" t="s">
        <v>426</v>
      </c>
      <c r="E78" s="14" t="s">
        <v>421</v>
      </c>
      <c r="F78" s="14" t="s">
        <v>284</v>
      </c>
      <c r="G78" s="24">
        <v>18000</v>
      </c>
      <c r="H78" s="14">
        <f t="shared" si="1"/>
        <v>18000</v>
      </c>
      <c r="I78" s="16" t="s">
        <v>415</v>
      </c>
      <c r="J78" s="17">
        <v>0</v>
      </c>
      <c r="K78" s="17">
        <v>0</v>
      </c>
      <c r="L78" s="16" t="s">
        <v>75</v>
      </c>
      <c r="M78" s="18" t="s">
        <v>62</v>
      </c>
      <c r="N78" s="19" t="s">
        <v>158</v>
      </c>
      <c r="O78" s="21" t="s">
        <v>427</v>
      </c>
      <c r="P78" s="21" t="s">
        <v>417</v>
      </c>
      <c r="Q78" s="21" t="s">
        <v>427</v>
      </c>
      <c r="R78" s="21" t="s">
        <v>418</v>
      </c>
      <c r="S78" s="21" t="s">
        <v>33</v>
      </c>
      <c r="T78" s="21" t="s">
        <v>419</v>
      </c>
    </row>
    <row r="79" spans="1:20" ht="145" x14ac:dyDescent="0.35">
      <c r="A79" s="13" t="s">
        <v>428</v>
      </c>
      <c r="B79" s="13" t="s">
        <v>190</v>
      </c>
      <c r="C79" s="14" t="s">
        <v>429</v>
      </c>
      <c r="D79" s="13" t="s">
        <v>35</v>
      </c>
      <c r="E79" s="14" t="s">
        <v>421</v>
      </c>
      <c r="F79" s="14" t="s">
        <v>430</v>
      </c>
      <c r="G79" s="24">
        <v>19000</v>
      </c>
      <c r="H79" s="14">
        <f t="shared" si="1"/>
        <v>19000</v>
      </c>
      <c r="I79" s="16" t="s">
        <v>214</v>
      </c>
      <c r="J79" s="17">
        <v>1</v>
      </c>
      <c r="K79" s="17">
        <v>0</v>
      </c>
      <c r="L79" s="16" t="s">
        <v>101</v>
      </c>
      <c r="M79" s="18" t="s">
        <v>431</v>
      </c>
      <c r="N79" s="19" t="s">
        <v>139</v>
      </c>
      <c r="O79" s="21" t="s">
        <v>432</v>
      </c>
      <c r="P79" s="21" t="s">
        <v>433</v>
      </c>
      <c r="Q79" s="21" t="s">
        <v>432</v>
      </c>
      <c r="R79" s="21" t="s">
        <v>434</v>
      </c>
      <c r="S79" s="21" t="s">
        <v>33</v>
      </c>
      <c r="T79" s="21" t="s">
        <v>435</v>
      </c>
    </row>
    <row r="80" spans="1:20" ht="145" x14ac:dyDescent="0.35">
      <c r="A80" s="13" t="s">
        <v>436</v>
      </c>
      <c r="B80" s="13" t="s">
        <v>190</v>
      </c>
      <c r="C80" s="14">
        <v>0</v>
      </c>
      <c r="D80" s="13" t="s">
        <v>35</v>
      </c>
      <c r="E80" s="14" t="s">
        <v>437</v>
      </c>
      <c r="F80" s="14" t="s">
        <v>330</v>
      </c>
      <c r="G80" s="24">
        <v>22000</v>
      </c>
      <c r="H80" s="14">
        <f t="shared" si="1"/>
        <v>22000</v>
      </c>
      <c r="I80" s="16" t="s">
        <v>214</v>
      </c>
      <c r="J80" s="17">
        <v>1</v>
      </c>
      <c r="K80" s="17">
        <v>1</v>
      </c>
      <c r="L80" s="16" t="s">
        <v>101</v>
      </c>
      <c r="M80" s="18" t="s">
        <v>62</v>
      </c>
      <c r="N80" s="19" t="s">
        <v>286</v>
      </c>
      <c r="O80" s="21" t="s">
        <v>438</v>
      </c>
      <c r="P80" s="21" t="s">
        <v>439</v>
      </c>
      <c r="Q80" s="21" t="s">
        <v>438</v>
      </c>
      <c r="R80" s="21" t="s">
        <v>440</v>
      </c>
      <c r="S80" s="21" t="s">
        <v>33</v>
      </c>
      <c r="T80" s="21" t="s">
        <v>441</v>
      </c>
    </row>
    <row r="81" spans="1:25" ht="145" x14ac:dyDescent="0.35">
      <c r="A81" s="13" t="s">
        <v>442</v>
      </c>
      <c r="B81" s="13" t="s">
        <v>190</v>
      </c>
      <c r="C81" s="14">
        <v>0</v>
      </c>
      <c r="D81" s="13" t="s">
        <v>35</v>
      </c>
      <c r="E81" s="14" t="s">
        <v>443</v>
      </c>
      <c r="F81" s="14" t="s">
        <v>390</v>
      </c>
      <c r="G81" s="24">
        <v>22000</v>
      </c>
      <c r="H81" s="14">
        <f t="shared" si="1"/>
        <v>22000</v>
      </c>
      <c r="I81" s="16" t="s">
        <v>214</v>
      </c>
      <c r="J81" s="17">
        <v>1</v>
      </c>
      <c r="K81" s="17">
        <v>1</v>
      </c>
      <c r="L81" s="16" t="s">
        <v>75</v>
      </c>
      <c r="M81" s="18" t="s">
        <v>152</v>
      </c>
      <c r="N81" s="19" t="s">
        <v>444</v>
      </c>
      <c r="O81" s="21" t="s">
        <v>445</v>
      </c>
      <c r="P81" s="21" t="s">
        <v>446</v>
      </c>
      <c r="Q81" s="21" t="s">
        <v>445</v>
      </c>
      <c r="R81" s="21" t="s">
        <v>447</v>
      </c>
      <c r="S81" s="21" t="s">
        <v>33</v>
      </c>
      <c r="T81" s="21" t="s">
        <v>448</v>
      </c>
    </row>
    <row r="82" spans="1:25" ht="145" x14ac:dyDescent="0.35">
      <c r="A82" s="13" t="s">
        <v>449</v>
      </c>
      <c r="B82" s="13" t="s">
        <v>190</v>
      </c>
      <c r="C82" s="14">
        <v>0</v>
      </c>
      <c r="D82" s="13" t="s">
        <v>35</v>
      </c>
      <c r="E82" s="14" t="s">
        <v>450</v>
      </c>
      <c r="F82" s="14" t="s">
        <v>390</v>
      </c>
      <c r="G82" s="24">
        <v>22000</v>
      </c>
      <c r="H82" s="14">
        <f t="shared" si="1"/>
        <v>22000</v>
      </c>
      <c r="I82" s="16" t="s">
        <v>214</v>
      </c>
      <c r="J82" s="17">
        <v>0</v>
      </c>
      <c r="K82" s="17">
        <v>1</v>
      </c>
      <c r="L82" s="16" t="s">
        <v>22</v>
      </c>
      <c r="M82" s="18" t="s">
        <v>152</v>
      </c>
      <c r="N82" s="19" t="s">
        <v>444</v>
      </c>
      <c r="O82" s="21" t="s">
        <v>451</v>
      </c>
      <c r="P82" s="21" t="s">
        <v>452</v>
      </c>
      <c r="Q82" s="21" t="s">
        <v>451</v>
      </c>
      <c r="R82" s="21" t="s">
        <v>453</v>
      </c>
      <c r="S82" s="21" t="s">
        <v>33</v>
      </c>
      <c r="T82" s="21" t="s">
        <v>454</v>
      </c>
    </row>
    <row r="83" spans="1:25" ht="145" x14ac:dyDescent="0.35">
      <c r="A83" s="13" t="s">
        <v>455</v>
      </c>
      <c r="B83" s="13" t="s">
        <v>190</v>
      </c>
      <c r="C83" s="14">
        <v>0</v>
      </c>
      <c r="D83" s="13" t="s">
        <v>35</v>
      </c>
      <c r="E83" s="14" t="s">
        <v>450</v>
      </c>
      <c r="F83" s="14" t="s">
        <v>390</v>
      </c>
      <c r="G83" s="24">
        <v>22000</v>
      </c>
      <c r="H83" s="14">
        <f t="shared" si="1"/>
        <v>22000</v>
      </c>
      <c r="I83" s="16" t="s">
        <v>214</v>
      </c>
      <c r="J83" s="17">
        <v>1</v>
      </c>
      <c r="K83" s="17">
        <v>1</v>
      </c>
      <c r="L83" s="16" t="s">
        <v>75</v>
      </c>
      <c r="M83" s="18" t="s">
        <v>152</v>
      </c>
      <c r="N83" s="19" t="s">
        <v>444</v>
      </c>
      <c r="O83" s="21" t="s">
        <v>456</v>
      </c>
      <c r="P83" s="21" t="s">
        <v>457</v>
      </c>
      <c r="Q83" s="21" t="s">
        <v>456</v>
      </c>
      <c r="R83" s="21" t="s">
        <v>458</v>
      </c>
      <c r="S83" s="21" t="s">
        <v>33</v>
      </c>
      <c r="T83" s="21" t="s">
        <v>459</v>
      </c>
    </row>
    <row r="84" spans="1:25" ht="145" x14ac:dyDescent="0.35">
      <c r="A84" s="13" t="s">
        <v>455</v>
      </c>
      <c r="B84" s="13" t="s">
        <v>190</v>
      </c>
      <c r="C84" s="14">
        <v>0</v>
      </c>
      <c r="D84" s="13" t="s">
        <v>460</v>
      </c>
      <c r="E84" s="14" t="s">
        <v>329</v>
      </c>
      <c r="F84" s="14" t="s">
        <v>461</v>
      </c>
      <c r="G84" s="24">
        <v>22000</v>
      </c>
      <c r="H84" s="14">
        <f t="shared" si="1"/>
        <v>22000</v>
      </c>
      <c r="I84" s="16" t="s">
        <v>214</v>
      </c>
      <c r="J84" s="17">
        <v>0</v>
      </c>
      <c r="K84" s="17">
        <v>0</v>
      </c>
      <c r="L84" s="16" t="s">
        <v>285</v>
      </c>
      <c r="M84" s="18" t="s">
        <v>152</v>
      </c>
      <c r="N84" s="19" t="s">
        <v>286</v>
      </c>
      <c r="O84" s="21" t="s">
        <v>462</v>
      </c>
      <c r="P84" s="21" t="s">
        <v>457</v>
      </c>
      <c r="Q84" s="21" t="s">
        <v>462</v>
      </c>
      <c r="R84" s="21" t="s">
        <v>458</v>
      </c>
      <c r="S84" s="21" t="s">
        <v>33</v>
      </c>
      <c r="T84" s="21" t="s">
        <v>459</v>
      </c>
    </row>
    <row r="85" spans="1:25" ht="145" x14ac:dyDescent="0.35">
      <c r="A85" s="13" t="s">
        <v>463</v>
      </c>
      <c r="B85" s="13" t="s">
        <v>190</v>
      </c>
      <c r="C85" s="14">
        <v>0</v>
      </c>
      <c r="D85" s="13" t="s">
        <v>35</v>
      </c>
      <c r="E85" s="14" t="s">
        <v>389</v>
      </c>
      <c r="F85" s="14" t="s">
        <v>464</v>
      </c>
      <c r="G85" s="24">
        <v>18000</v>
      </c>
      <c r="H85" s="14">
        <f t="shared" si="1"/>
        <v>18000</v>
      </c>
      <c r="I85" s="16" t="s">
        <v>214</v>
      </c>
      <c r="J85" s="17">
        <v>0</v>
      </c>
      <c r="K85" s="17">
        <v>1</v>
      </c>
      <c r="L85" s="16" t="s">
        <v>22</v>
      </c>
      <c r="M85" s="18" t="s">
        <v>38</v>
      </c>
      <c r="N85" s="19" t="s">
        <v>444</v>
      </c>
      <c r="O85" s="21" t="s">
        <v>465</v>
      </c>
      <c r="P85" s="21" t="s">
        <v>466</v>
      </c>
      <c r="Q85" s="21" t="s">
        <v>465</v>
      </c>
      <c r="R85" s="21" t="s">
        <v>467</v>
      </c>
      <c r="S85" s="21" t="s">
        <v>33</v>
      </c>
      <c r="T85" s="21" t="s">
        <v>468</v>
      </c>
    </row>
    <row r="86" spans="1:25" ht="145" x14ac:dyDescent="0.35">
      <c r="A86" s="13" t="s">
        <v>469</v>
      </c>
      <c r="B86" s="13" t="s">
        <v>190</v>
      </c>
      <c r="C86" s="14" t="s">
        <v>470</v>
      </c>
      <c r="D86" s="13" t="s">
        <v>35</v>
      </c>
      <c r="E86" s="14" t="s">
        <v>421</v>
      </c>
      <c r="F86" s="14" t="s">
        <v>430</v>
      </c>
      <c r="G86" s="24">
        <v>18000</v>
      </c>
      <c r="H86" s="14">
        <f t="shared" si="1"/>
        <v>18000</v>
      </c>
      <c r="I86" s="16">
        <v>12</v>
      </c>
      <c r="J86" s="17">
        <v>1</v>
      </c>
      <c r="K86" s="17">
        <v>0</v>
      </c>
      <c r="L86" s="16" t="s">
        <v>101</v>
      </c>
      <c r="M86" s="18" t="s">
        <v>471</v>
      </c>
      <c r="N86" s="19" t="s">
        <v>139</v>
      </c>
      <c r="O86" s="21" t="s">
        <v>472</v>
      </c>
      <c r="P86" s="21" t="s">
        <v>473</v>
      </c>
      <c r="Q86" s="21" t="s">
        <v>472</v>
      </c>
      <c r="R86" s="21" t="s">
        <v>474</v>
      </c>
      <c r="S86" s="21" t="s">
        <v>33</v>
      </c>
      <c r="T86" s="21" t="s">
        <v>475</v>
      </c>
    </row>
    <row r="87" spans="1:25" ht="145" x14ac:dyDescent="0.35">
      <c r="A87" s="13" t="s">
        <v>469</v>
      </c>
      <c r="B87" s="13" t="s">
        <v>190</v>
      </c>
      <c r="C87" s="14" t="s">
        <v>470</v>
      </c>
      <c r="D87" s="13" t="s">
        <v>476</v>
      </c>
      <c r="E87" s="14" t="s">
        <v>421</v>
      </c>
      <c r="F87" s="14" t="s">
        <v>430</v>
      </c>
      <c r="G87" s="24">
        <v>18000</v>
      </c>
      <c r="H87" s="14">
        <f t="shared" si="1"/>
        <v>18000</v>
      </c>
      <c r="I87" s="16" t="s">
        <v>415</v>
      </c>
      <c r="J87" s="17">
        <v>0</v>
      </c>
      <c r="K87" s="17">
        <v>0</v>
      </c>
      <c r="L87" s="16" t="s">
        <v>75</v>
      </c>
      <c r="M87" s="18" t="s">
        <v>471</v>
      </c>
      <c r="N87" s="19" t="s">
        <v>312</v>
      </c>
      <c r="O87" s="21" t="s">
        <v>477</v>
      </c>
      <c r="P87" s="21" t="s">
        <v>473</v>
      </c>
      <c r="Q87" s="21" t="s">
        <v>477</v>
      </c>
      <c r="R87" s="21" t="s">
        <v>474</v>
      </c>
      <c r="S87" s="21" t="s">
        <v>33</v>
      </c>
      <c r="T87" s="20" t="s">
        <v>475</v>
      </c>
    </row>
    <row r="88" spans="1:25" ht="145" x14ac:dyDescent="0.35">
      <c r="A88" s="13" t="s">
        <v>469</v>
      </c>
      <c r="B88" s="13" t="s">
        <v>190</v>
      </c>
      <c r="C88" s="14" t="s">
        <v>470</v>
      </c>
      <c r="D88" s="13" t="s">
        <v>478</v>
      </c>
      <c r="E88" s="14" t="s">
        <v>421</v>
      </c>
      <c r="F88" s="14" t="s">
        <v>430</v>
      </c>
      <c r="G88" s="24">
        <v>18000</v>
      </c>
      <c r="H88" s="14">
        <f t="shared" si="1"/>
        <v>18000</v>
      </c>
      <c r="I88" s="16" t="s">
        <v>479</v>
      </c>
      <c r="J88" s="17">
        <v>1</v>
      </c>
      <c r="K88" s="17">
        <v>0</v>
      </c>
      <c r="L88" s="16" t="s">
        <v>285</v>
      </c>
      <c r="M88" s="18" t="s">
        <v>471</v>
      </c>
      <c r="N88" s="19" t="s">
        <v>158</v>
      </c>
      <c r="O88" s="21" t="s">
        <v>480</v>
      </c>
      <c r="P88" s="21" t="s">
        <v>473</v>
      </c>
      <c r="Q88" s="21" t="s">
        <v>480</v>
      </c>
      <c r="R88" s="21" t="s">
        <v>474</v>
      </c>
      <c r="S88" s="21" t="s">
        <v>33</v>
      </c>
      <c r="T88" s="21" t="s">
        <v>475</v>
      </c>
    </row>
    <row r="89" spans="1:25" ht="116" x14ac:dyDescent="0.35">
      <c r="A89" s="13" t="s">
        <v>481</v>
      </c>
      <c r="B89" s="13" t="s">
        <v>482</v>
      </c>
      <c r="C89" s="14" t="s">
        <v>483</v>
      </c>
      <c r="D89" s="13" t="s">
        <v>484</v>
      </c>
      <c r="E89" s="14">
        <v>98079</v>
      </c>
      <c r="F89" s="14">
        <v>58864</v>
      </c>
      <c r="G89" s="24">
        <v>18000</v>
      </c>
      <c r="H89" s="14">
        <f t="shared" si="1"/>
        <v>18000</v>
      </c>
      <c r="I89" s="16" t="s">
        <v>66</v>
      </c>
      <c r="J89" s="17">
        <v>0</v>
      </c>
      <c r="K89" s="17">
        <v>1</v>
      </c>
      <c r="L89" s="16">
        <v>56</v>
      </c>
      <c r="M89" s="18" t="s">
        <v>131</v>
      </c>
      <c r="N89" s="19" t="s">
        <v>485</v>
      </c>
      <c r="O89" s="1" t="s">
        <v>486</v>
      </c>
      <c r="P89" s="2" t="s">
        <v>487</v>
      </c>
      <c r="Q89" s="2" t="s">
        <v>486</v>
      </c>
      <c r="R89" s="2" t="s">
        <v>488</v>
      </c>
      <c r="S89" s="2" t="s">
        <v>489</v>
      </c>
      <c r="T89" s="2" t="s">
        <v>490</v>
      </c>
      <c r="U89" s="25"/>
      <c r="V89" s="25"/>
      <c r="W89" s="25"/>
    </row>
    <row r="90" spans="1:25" ht="203" x14ac:dyDescent="0.35">
      <c r="A90" s="13" t="s">
        <v>481</v>
      </c>
      <c r="B90" s="13" t="s">
        <v>482</v>
      </c>
      <c r="C90" s="14" t="s">
        <v>483</v>
      </c>
      <c r="D90" s="13" t="s">
        <v>127</v>
      </c>
      <c r="E90" s="14" t="s">
        <v>491</v>
      </c>
      <c r="F90" s="14" t="s">
        <v>492</v>
      </c>
      <c r="G90" s="24">
        <v>18000</v>
      </c>
      <c r="H90" s="14">
        <f t="shared" si="1"/>
        <v>18000</v>
      </c>
      <c r="I90" s="16" t="s">
        <v>25</v>
      </c>
      <c r="J90" s="17">
        <v>0</v>
      </c>
      <c r="K90" s="17">
        <v>1</v>
      </c>
      <c r="L90" s="16">
        <v>56</v>
      </c>
      <c r="M90" s="18" t="s">
        <v>131</v>
      </c>
      <c r="N90" s="19" t="s">
        <v>485</v>
      </c>
      <c r="O90" s="1" t="s">
        <v>493</v>
      </c>
      <c r="P90" s="2" t="s">
        <v>487</v>
      </c>
      <c r="Q90" s="2" t="s">
        <v>486</v>
      </c>
      <c r="R90" s="2" t="s">
        <v>488</v>
      </c>
      <c r="S90" s="2" t="s">
        <v>489</v>
      </c>
      <c r="T90" s="2" t="s">
        <v>490</v>
      </c>
      <c r="U90" s="25"/>
      <c r="V90" s="25"/>
      <c r="W90" s="25"/>
    </row>
    <row r="91" spans="1:25" ht="159.5" x14ac:dyDescent="0.35">
      <c r="A91" s="13" t="s">
        <v>481</v>
      </c>
      <c r="B91" s="13" t="s">
        <v>482</v>
      </c>
      <c r="C91" s="14" t="s">
        <v>483</v>
      </c>
      <c r="D91" s="13" t="s">
        <v>494</v>
      </c>
      <c r="E91" s="14" t="s">
        <v>495</v>
      </c>
      <c r="F91" s="14" t="s">
        <v>496</v>
      </c>
      <c r="G91" s="24">
        <v>18000</v>
      </c>
      <c r="H91" s="14">
        <f t="shared" si="1"/>
        <v>18000</v>
      </c>
      <c r="I91" s="16" t="s">
        <v>80</v>
      </c>
      <c r="J91" s="17">
        <v>0</v>
      </c>
      <c r="K91" s="17">
        <v>0</v>
      </c>
      <c r="L91" s="16" t="s">
        <v>285</v>
      </c>
      <c r="M91" s="18" t="s">
        <v>102</v>
      </c>
      <c r="N91" s="19" t="s">
        <v>286</v>
      </c>
      <c r="O91" s="1" t="s">
        <v>497</v>
      </c>
      <c r="P91" s="2" t="s">
        <v>487</v>
      </c>
      <c r="Q91" s="2" t="s">
        <v>486</v>
      </c>
      <c r="R91" s="2" t="s">
        <v>488</v>
      </c>
      <c r="S91" s="2" t="s">
        <v>489</v>
      </c>
      <c r="T91" s="2" t="s">
        <v>490</v>
      </c>
      <c r="U91" s="25"/>
      <c r="V91" s="25"/>
      <c r="W91" s="25"/>
    </row>
    <row r="92" spans="1:25" ht="87" x14ac:dyDescent="0.35">
      <c r="A92" s="13" t="s">
        <v>481</v>
      </c>
      <c r="B92" s="13" t="s">
        <v>482</v>
      </c>
      <c r="C92" s="14" t="s">
        <v>483</v>
      </c>
      <c r="D92" s="13" t="s">
        <v>73</v>
      </c>
      <c r="E92" s="14" t="s">
        <v>498</v>
      </c>
      <c r="F92" s="14" t="s">
        <v>499</v>
      </c>
      <c r="G92" s="24">
        <v>20000</v>
      </c>
      <c r="H92" s="14">
        <f t="shared" si="1"/>
        <v>20000</v>
      </c>
      <c r="I92" s="16" t="s">
        <v>36</v>
      </c>
      <c r="J92" s="17">
        <v>0</v>
      </c>
      <c r="K92" s="17">
        <v>1</v>
      </c>
      <c r="L92" s="16" t="s">
        <v>170</v>
      </c>
      <c r="M92" s="18" t="s">
        <v>38</v>
      </c>
      <c r="N92" s="19" t="s">
        <v>158</v>
      </c>
      <c r="O92" s="1" t="s">
        <v>500</v>
      </c>
      <c r="P92" s="2" t="s">
        <v>487</v>
      </c>
      <c r="Q92" s="2" t="s">
        <v>486</v>
      </c>
      <c r="R92" s="2" t="s">
        <v>488</v>
      </c>
      <c r="S92" s="2" t="s">
        <v>489</v>
      </c>
      <c r="T92" s="2" t="s">
        <v>490</v>
      </c>
      <c r="U92" s="25"/>
      <c r="V92" s="25"/>
      <c r="W92" s="25"/>
    </row>
    <row r="93" spans="1:25" ht="174" x14ac:dyDescent="0.35">
      <c r="A93" s="13" t="s">
        <v>501</v>
      </c>
      <c r="B93" s="13" t="s">
        <v>482</v>
      </c>
      <c r="C93" s="14" t="s">
        <v>502</v>
      </c>
      <c r="D93" s="13" t="s">
        <v>484</v>
      </c>
      <c r="E93" s="14" t="s">
        <v>82</v>
      </c>
      <c r="F93" s="14" t="s">
        <v>503</v>
      </c>
      <c r="G93" s="24">
        <v>20000</v>
      </c>
      <c r="H93" s="14">
        <f t="shared" si="1"/>
        <v>20000</v>
      </c>
      <c r="I93" s="16" t="s">
        <v>66</v>
      </c>
      <c r="J93" s="17">
        <v>0</v>
      </c>
      <c r="K93" s="17">
        <v>1</v>
      </c>
      <c r="L93" s="16" t="s">
        <v>504</v>
      </c>
      <c r="M93" s="18" t="s">
        <v>68</v>
      </c>
      <c r="N93" s="19" t="s">
        <v>186</v>
      </c>
      <c r="O93" s="1" t="s">
        <v>505</v>
      </c>
      <c r="P93" s="2" t="s">
        <v>506</v>
      </c>
      <c r="Q93" s="2" t="s">
        <v>507</v>
      </c>
      <c r="R93" s="2" t="s">
        <v>508</v>
      </c>
      <c r="S93" s="2" t="s">
        <v>509</v>
      </c>
      <c r="T93" s="2" t="s">
        <v>510</v>
      </c>
      <c r="U93" s="25"/>
      <c r="V93" s="25"/>
      <c r="W93" s="25"/>
    </row>
    <row r="94" spans="1:25" ht="188.5" x14ac:dyDescent="0.35">
      <c r="A94" s="13" t="s">
        <v>501</v>
      </c>
      <c r="B94" s="13" t="s">
        <v>482</v>
      </c>
      <c r="C94" s="14" t="s">
        <v>502</v>
      </c>
      <c r="D94" s="13" t="s">
        <v>104</v>
      </c>
      <c r="E94" s="14" t="s">
        <v>511</v>
      </c>
      <c r="F94" s="14" t="s">
        <v>512</v>
      </c>
      <c r="G94" s="24">
        <v>20000</v>
      </c>
      <c r="H94" s="14">
        <f t="shared" si="1"/>
        <v>20000</v>
      </c>
      <c r="I94" s="16" t="s">
        <v>25</v>
      </c>
      <c r="J94" s="17">
        <v>0</v>
      </c>
      <c r="K94" s="17">
        <v>0</v>
      </c>
      <c r="L94" s="16">
        <v>56</v>
      </c>
      <c r="M94" s="18" t="s">
        <v>62</v>
      </c>
      <c r="N94" s="19" t="s">
        <v>139</v>
      </c>
      <c r="O94" s="1" t="s">
        <v>513</v>
      </c>
      <c r="P94" s="2" t="s">
        <v>506</v>
      </c>
      <c r="Q94" s="2" t="s">
        <v>507</v>
      </c>
      <c r="R94" s="2" t="s">
        <v>508</v>
      </c>
      <c r="S94" s="2" t="s">
        <v>509</v>
      </c>
      <c r="T94" s="2" t="s">
        <v>510</v>
      </c>
      <c r="U94" s="25"/>
      <c r="V94" s="25"/>
      <c r="W94" s="25"/>
    </row>
    <row r="95" spans="1:25" ht="130.5" x14ac:dyDescent="0.35">
      <c r="A95" s="13" t="s">
        <v>501</v>
      </c>
      <c r="B95" s="13" t="s">
        <v>482</v>
      </c>
      <c r="C95" s="14" t="s">
        <v>502</v>
      </c>
      <c r="D95" s="13" t="s">
        <v>224</v>
      </c>
      <c r="E95" s="14" t="s">
        <v>299</v>
      </c>
      <c r="F95" s="14" t="s">
        <v>317</v>
      </c>
      <c r="G95" s="24">
        <v>20000</v>
      </c>
      <c r="H95" s="14">
        <f t="shared" si="1"/>
        <v>20000</v>
      </c>
      <c r="I95" s="16" t="s">
        <v>214</v>
      </c>
      <c r="J95" s="17">
        <v>0</v>
      </c>
      <c r="K95" s="17">
        <v>0</v>
      </c>
      <c r="L95" s="16">
        <v>56</v>
      </c>
      <c r="M95" s="18" t="s">
        <v>514</v>
      </c>
      <c r="N95" s="19" t="s">
        <v>286</v>
      </c>
      <c r="O95" s="1" t="s">
        <v>515</v>
      </c>
      <c r="P95" s="2" t="s">
        <v>506</v>
      </c>
      <c r="Q95" s="2" t="s">
        <v>507</v>
      </c>
      <c r="R95" s="2" t="s">
        <v>508</v>
      </c>
      <c r="S95" s="2" t="s">
        <v>509</v>
      </c>
      <c r="T95" s="2" t="s">
        <v>510</v>
      </c>
      <c r="U95" s="25"/>
      <c r="V95" s="25"/>
      <c r="W95" s="25"/>
    </row>
    <row r="96" spans="1:25" ht="174" x14ac:dyDescent="0.35">
      <c r="A96" s="13" t="s">
        <v>516</v>
      </c>
      <c r="B96" s="13" t="s">
        <v>517</v>
      </c>
      <c r="C96" s="14" t="s">
        <v>518</v>
      </c>
      <c r="D96" s="13" t="s">
        <v>484</v>
      </c>
      <c r="E96" s="14" t="s">
        <v>519</v>
      </c>
      <c r="F96" s="14" t="s">
        <v>520</v>
      </c>
      <c r="G96" s="24">
        <v>20000</v>
      </c>
      <c r="H96" s="14">
        <f>IF(ISNUMBER(G96),G96,AVERAGE(VALUE(TRIM(LEFT(SUBSTITUTE(G96,"–","-"),FIND("-",SUBSTITUTE(G96,"–","-"))-1))),VALUE(TRIM(MID(SUBSTITUTE(G96,"–","-"),FIND("-",SUBSTITUTE(G96,"–","-"))+1,100)))))</f>
        <v>20000</v>
      </c>
      <c r="I96" s="16" t="s">
        <v>214</v>
      </c>
      <c r="J96" s="17">
        <v>0</v>
      </c>
      <c r="K96" s="17">
        <v>1</v>
      </c>
      <c r="L96" s="16" t="s">
        <v>81</v>
      </c>
      <c r="M96" s="18" t="s">
        <v>38</v>
      </c>
      <c r="N96" s="26" t="s">
        <v>158</v>
      </c>
      <c r="O96" s="2" t="s">
        <v>521</v>
      </c>
      <c r="P96" s="2" t="s">
        <v>522</v>
      </c>
      <c r="Q96" s="2" t="s">
        <v>523</v>
      </c>
      <c r="R96" s="2" t="s">
        <v>524</v>
      </c>
      <c r="S96" s="2" t="s">
        <v>525</v>
      </c>
      <c r="T96" s="2" t="s">
        <v>526</v>
      </c>
      <c r="U96" s="25"/>
      <c r="V96" s="25"/>
      <c r="W96" s="25"/>
      <c r="X96" s="25"/>
      <c r="Y96" s="27"/>
    </row>
    <row r="97" spans="1:28" ht="145" x14ac:dyDescent="0.35">
      <c r="A97" s="13" t="s">
        <v>516</v>
      </c>
      <c r="B97" s="13" t="s">
        <v>517</v>
      </c>
      <c r="C97" s="14" t="s">
        <v>518</v>
      </c>
      <c r="D97" s="13" t="s">
        <v>73</v>
      </c>
      <c r="E97" s="14" t="s">
        <v>527</v>
      </c>
      <c r="F97" s="14" t="s">
        <v>528</v>
      </c>
      <c r="G97" s="14" t="s">
        <v>382</v>
      </c>
      <c r="H97" s="14" t="s">
        <v>382</v>
      </c>
      <c r="I97" s="16" t="s">
        <v>25</v>
      </c>
      <c r="J97" s="17">
        <v>0</v>
      </c>
      <c r="K97" s="17">
        <v>0</v>
      </c>
      <c r="L97" s="16" t="s">
        <v>191</v>
      </c>
      <c r="M97" s="18" t="s">
        <v>38</v>
      </c>
      <c r="N97" s="26" t="s">
        <v>312</v>
      </c>
      <c r="O97" s="1" t="s">
        <v>529</v>
      </c>
      <c r="P97" s="2" t="s">
        <v>522</v>
      </c>
      <c r="Q97" s="2" t="s">
        <v>523</v>
      </c>
      <c r="R97" s="2" t="s">
        <v>524</v>
      </c>
      <c r="S97" s="2" t="s">
        <v>525</v>
      </c>
      <c r="T97" s="2" t="s">
        <v>526</v>
      </c>
      <c r="U97" s="25"/>
      <c r="V97" s="25"/>
      <c r="W97" s="25"/>
      <c r="X97" s="25"/>
      <c r="Y97" s="27"/>
    </row>
    <row r="98" spans="1:28" ht="188.5" x14ac:dyDescent="0.35">
      <c r="A98" s="13" t="s">
        <v>516</v>
      </c>
      <c r="B98" s="13" t="s">
        <v>517</v>
      </c>
      <c r="C98" s="14" t="s">
        <v>518</v>
      </c>
      <c r="D98" s="13" t="s">
        <v>224</v>
      </c>
      <c r="E98" s="14" t="s">
        <v>325</v>
      </c>
      <c r="F98" s="14" t="s">
        <v>390</v>
      </c>
      <c r="G98" s="14" t="s">
        <v>382</v>
      </c>
      <c r="H98" s="14" t="s">
        <v>382</v>
      </c>
      <c r="I98" s="16" t="s">
        <v>214</v>
      </c>
      <c r="J98" s="17">
        <v>0</v>
      </c>
      <c r="K98" s="17">
        <v>0</v>
      </c>
      <c r="L98" s="16">
        <v>56</v>
      </c>
      <c r="M98" s="18" t="s">
        <v>102</v>
      </c>
      <c r="N98" s="26" t="s">
        <v>286</v>
      </c>
      <c r="O98" s="1" t="s">
        <v>530</v>
      </c>
      <c r="P98" s="2" t="s">
        <v>522</v>
      </c>
      <c r="Q98" s="2" t="s">
        <v>523</v>
      </c>
      <c r="R98" s="2" t="s">
        <v>524</v>
      </c>
      <c r="S98" s="2" t="s">
        <v>525</v>
      </c>
      <c r="T98" s="2" t="s">
        <v>526</v>
      </c>
      <c r="U98" s="25"/>
      <c r="V98" s="25"/>
      <c r="W98" s="25"/>
      <c r="X98" s="25"/>
      <c r="Y98" s="27"/>
    </row>
    <row r="99" spans="1:28" ht="246.5" x14ac:dyDescent="0.35">
      <c r="A99" s="13" t="s">
        <v>531</v>
      </c>
      <c r="B99" s="13" t="s">
        <v>532</v>
      </c>
      <c r="C99" s="14" t="s">
        <v>533</v>
      </c>
      <c r="D99" s="13" t="s">
        <v>534</v>
      </c>
      <c r="E99" s="14" t="s">
        <v>535</v>
      </c>
      <c r="F99" s="14" t="s">
        <v>536</v>
      </c>
      <c r="G99" s="14" t="s">
        <v>537</v>
      </c>
      <c r="H99" s="14" t="s">
        <v>537</v>
      </c>
      <c r="I99" s="16" t="s">
        <v>538</v>
      </c>
      <c r="J99" s="17">
        <v>0</v>
      </c>
      <c r="K99" s="17">
        <v>1</v>
      </c>
      <c r="L99" s="16">
        <v>56</v>
      </c>
      <c r="M99" s="18" t="s">
        <v>539</v>
      </c>
      <c r="N99" s="26" t="s">
        <v>124</v>
      </c>
      <c r="O99" s="1" t="s">
        <v>540</v>
      </c>
      <c r="P99" s="2" t="s">
        <v>541</v>
      </c>
      <c r="Q99" s="2" t="s">
        <v>542</v>
      </c>
      <c r="R99" s="2" t="s">
        <v>543</v>
      </c>
      <c r="S99" s="2" t="s">
        <v>544</v>
      </c>
      <c r="T99" s="2" t="s">
        <v>545</v>
      </c>
      <c r="U99" s="25"/>
      <c r="V99" s="25"/>
      <c r="W99" s="25"/>
      <c r="X99" s="25"/>
      <c r="Y99" s="27"/>
    </row>
    <row r="100" spans="1:28" ht="72.5" x14ac:dyDescent="0.35">
      <c r="A100" s="13" t="s">
        <v>531</v>
      </c>
      <c r="B100" s="13" t="s">
        <v>532</v>
      </c>
      <c r="C100" s="14" t="s">
        <v>533</v>
      </c>
      <c r="D100" s="13" t="s">
        <v>546</v>
      </c>
      <c r="E100" s="14" t="s">
        <v>547</v>
      </c>
      <c r="F100" s="14" t="s">
        <v>548</v>
      </c>
      <c r="G100" s="14" t="s">
        <v>537</v>
      </c>
      <c r="H100" s="14" t="s">
        <v>537</v>
      </c>
      <c r="I100" s="16" t="s">
        <v>214</v>
      </c>
      <c r="J100" s="17">
        <v>0</v>
      </c>
      <c r="K100" s="17">
        <v>0</v>
      </c>
      <c r="L100" s="16">
        <v>56</v>
      </c>
      <c r="M100" s="18" t="s">
        <v>131</v>
      </c>
      <c r="N100" s="26" t="s">
        <v>286</v>
      </c>
      <c r="O100" s="1" t="s">
        <v>549</v>
      </c>
      <c r="P100" s="1" t="s">
        <v>541</v>
      </c>
      <c r="Q100" s="2" t="s">
        <v>542</v>
      </c>
      <c r="R100" s="2" t="s">
        <v>543</v>
      </c>
      <c r="S100" s="2" t="s">
        <v>544</v>
      </c>
      <c r="T100" s="2" t="s">
        <v>545</v>
      </c>
      <c r="U100" s="25"/>
      <c r="V100" s="25"/>
      <c r="W100" s="25"/>
      <c r="X100" s="25"/>
      <c r="Y100" s="27"/>
    </row>
    <row r="101" spans="1:28" ht="72.5" x14ac:dyDescent="0.35">
      <c r="A101" s="13" t="s">
        <v>550</v>
      </c>
      <c r="B101" s="13" t="s">
        <v>532</v>
      </c>
      <c r="C101" s="14">
        <v>0</v>
      </c>
      <c r="D101" s="13" t="s">
        <v>484</v>
      </c>
      <c r="E101" s="14" t="s">
        <v>551</v>
      </c>
      <c r="F101" s="14" t="s">
        <v>552</v>
      </c>
      <c r="G101" s="14" t="s">
        <v>537</v>
      </c>
      <c r="H101" s="14" t="s">
        <v>537</v>
      </c>
      <c r="I101" s="16" t="s">
        <v>25</v>
      </c>
      <c r="J101" s="17">
        <v>0</v>
      </c>
      <c r="K101" s="17">
        <v>1</v>
      </c>
      <c r="L101" s="16">
        <v>56</v>
      </c>
      <c r="M101" s="18" t="s">
        <v>162</v>
      </c>
      <c r="N101" s="26" t="s">
        <v>124</v>
      </c>
      <c r="O101" s="1" t="s">
        <v>553</v>
      </c>
      <c r="P101" s="1" t="s">
        <v>554</v>
      </c>
      <c r="Q101" s="1" t="s">
        <v>555</v>
      </c>
      <c r="R101" s="1" t="s">
        <v>543</v>
      </c>
      <c r="S101" s="2" t="s">
        <v>544</v>
      </c>
      <c r="T101" s="2" t="s">
        <v>545</v>
      </c>
      <c r="U101" s="25"/>
      <c r="V101" s="25"/>
      <c r="W101" s="25"/>
      <c r="X101" s="25"/>
      <c r="Y101" s="27"/>
    </row>
    <row r="102" spans="1:28" ht="87" x14ac:dyDescent="0.35">
      <c r="A102" s="13" t="s">
        <v>550</v>
      </c>
      <c r="B102" s="13" t="s">
        <v>532</v>
      </c>
      <c r="C102" s="14">
        <v>0</v>
      </c>
      <c r="D102" s="13" t="s">
        <v>73</v>
      </c>
      <c r="E102" s="14" t="s">
        <v>556</v>
      </c>
      <c r="F102" s="14" t="s">
        <v>557</v>
      </c>
      <c r="G102" s="14" t="s">
        <v>537</v>
      </c>
      <c r="H102" s="14" t="s">
        <v>537</v>
      </c>
      <c r="I102" s="16" t="s">
        <v>214</v>
      </c>
      <c r="J102" s="17">
        <v>0</v>
      </c>
      <c r="K102" s="17">
        <v>0</v>
      </c>
      <c r="L102" s="16">
        <v>56</v>
      </c>
      <c r="M102" s="18" t="s">
        <v>38</v>
      </c>
      <c r="N102" s="26" t="s">
        <v>286</v>
      </c>
      <c r="O102" s="1" t="s">
        <v>558</v>
      </c>
      <c r="P102" s="2" t="s">
        <v>554</v>
      </c>
      <c r="Q102" s="2" t="s">
        <v>559</v>
      </c>
      <c r="R102" s="2" t="s">
        <v>543</v>
      </c>
      <c r="S102" s="2" t="s">
        <v>560</v>
      </c>
      <c r="T102" s="2" t="s">
        <v>561</v>
      </c>
      <c r="U102" s="25"/>
      <c r="V102" s="25"/>
      <c r="W102" s="25"/>
      <c r="X102" s="25"/>
      <c r="Y102" s="27"/>
    </row>
    <row r="103" spans="1:28" ht="87" x14ac:dyDescent="0.35">
      <c r="A103" s="13" t="s">
        <v>550</v>
      </c>
      <c r="B103" s="13" t="s">
        <v>532</v>
      </c>
      <c r="C103" s="14">
        <v>0</v>
      </c>
      <c r="D103" s="13" t="s">
        <v>562</v>
      </c>
      <c r="E103" s="14" t="s">
        <v>325</v>
      </c>
      <c r="F103" s="14" t="s">
        <v>382</v>
      </c>
      <c r="G103" s="14" t="s">
        <v>537</v>
      </c>
      <c r="H103" s="14" t="s">
        <v>537</v>
      </c>
      <c r="I103" s="16" t="s">
        <v>25</v>
      </c>
      <c r="J103" s="17">
        <v>0</v>
      </c>
      <c r="K103" s="17">
        <v>0</v>
      </c>
      <c r="L103" s="16">
        <v>56</v>
      </c>
      <c r="M103" s="18" t="s">
        <v>131</v>
      </c>
      <c r="N103" s="26" t="s">
        <v>158</v>
      </c>
      <c r="O103" s="1" t="s">
        <v>563</v>
      </c>
      <c r="P103" s="2" t="s">
        <v>554</v>
      </c>
      <c r="Q103" s="2" t="s">
        <v>559</v>
      </c>
      <c r="R103" s="2" t="s">
        <v>543</v>
      </c>
      <c r="S103" s="2" t="s">
        <v>560</v>
      </c>
      <c r="T103" s="2" t="s">
        <v>561</v>
      </c>
      <c r="U103" s="25"/>
      <c r="V103" s="25"/>
      <c r="W103" s="25"/>
      <c r="X103" s="25"/>
      <c r="Y103" s="27"/>
    </row>
    <row r="104" spans="1:28" ht="290" x14ac:dyDescent="0.35">
      <c r="A104" s="13" t="s">
        <v>564</v>
      </c>
      <c r="B104" s="13" t="s">
        <v>565</v>
      </c>
      <c r="C104" s="14" t="s">
        <v>566</v>
      </c>
      <c r="D104" s="13" t="s">
        <v>567</v>
      </c>
      <c r="E104" s="14" t="s">
        <v>568</v>
      </c>
      <c r="F104" s="14" t="s">
        <v>569</v>
      </c>
      <c r="G104" s="14" t="s">
        <v>570</v>
      </c>
      <c r="H104" s="14" t="s">
        <v>570</v>
      </c>
      <c r="I104" s="16" t="s">
        <v>25</v>
      </c>
      <c r="J104" s="17">
        <v>0</v>
      </c>
      <c r="K104" s="17">
        <v>1</v>
      </c>
      <c r="L104" s="16">
        <v>56</v>
      </c>
      <c r="M104" s="18" t="s">
        <v>131</v>
      </c>
      <c r="N104" s="26" t="s">
        <v>99</v>
      </c>
      <c r="O104" s="1" t="s">
        <v>571</v>
      </c>
      <c r="P104" s="2" t="s">
        <v>572</v>
      </c>
      <c r="Q104" s="2" t="s">
        <v>573</v>
      </c>
      <c r="R104" s="2" t="s">
        <v>574</v>
      </c>
      <c r="S104" s="2" t="s">
        <v>575</v>
      </c>
      <c r="T104" s="2" t="s">
        <v>576</v>
      </c>
      <c r="U104" s="25"/>
      <c r="V104" s="25"/>
      <c r="W104" s="25"/>
      <c r="X104" s="25"/>
      <c r="Y104" s="27"/>
    </row>
    <row r="105" spans="1:28" ht="333.5" x14ac:dyDescent="0.35">
      <c r="A105" s="13" t="s">
        <v>564</v>
      </c>
      <c r="B105" s="13" t="s">
        <v>565</v>
      </c>
      <c r="C105" s="14" t="s">
        <v>566</v>
      </c>
      <c r="D105" s="13" t="s">
        <v>577</v>
      </c>
      <c r="E105" s="14" t="s">
        <v>389</v>
      </c>
      <c r="F105" s="14" t="s">
        <v>284</v>
      </c>
      <c r="G105" s="14" t="s">
        <v>570</v>
      </c>
      <c r="H105" s="14" t="s">
        <v>570</v>
      </c>
      <c r="I105" s="16" t="s">
        <v>25</v>
      </c>
      <c r="J105" s="17">
        <v>0</v>
      </c>
      <c r="K105" s="17">
        <v>1</v>
      </c>
      <c r="L105" s="16">
        <v>56</v>
      </c>
      <c r="M105" s="18" t="s">
        <v>471</v>
      </c>
      <c r="N105" s="26" t="s">
        <v>578</v>
      </c>
      <c r="O105" s="1" t="s">
        <v>579</v>
      </c>
      <c r="P105" s="2" t="s">
        <v>572</v>
      </c>
      <c r="Q105" s="2" t="s">
        <v>573</v>
      </c>
      <c r="R105" s="2" t="s">
        <v>574</v>
      </c>
      <c r="S105" s="2" t="s">
        <v>575</v>
      </c>
      <c r="T105" s="2" t="s">
        <v>576</v>
      </c>
      <c r="U105" s="25"/>
      <c r="V105" s="25"/>
      <c r="W105" s="25"/>
      <c r="X105" s="25"/>
      <c r="Y105" s="27"/>
    </row>
    <row r="106" spans="1:28" ht="159.5" x14ac:dyDescent="0.35">
      <c r="A106" s="13" t="s">
        <v>580</v>
      </c>
      <c r="B106" s="13" t="s">
        <v>190</v>
      </c>
      <c r="C106" s="14" t="s">
        <v>581</v>
      </c>
      <c r="D106" s="13" t="s">
        <v>582</v>
      </c>
      <c r="E106" s="14">
        <v>63927</v>
      </c>
      <c r="F106" s="14">
        <v>21790</v>
      </c>
      <c r="G106" s="14" t="s">
        <v>583</v>
      </c>
      <c r="H106" s="14" t="s">
        <v>583</v>
      </c>
      <c r="I106" s="16" t="s">
        <v>36</v>
      </c>
      <c r="J106" s="17">
        <v>0</v>
      </c>
      <c r="K106" s="17">
        <v>1</v>
      </c>
      <c r="L106" s="16">
        <v>56</v>
      </c>
      <c r="M106" s="18" t="s">
        <v>584</v>
      </c>
      <c r="N106" s="26" t="s">
        <v>585</v>
      </c>
      <c r="O106" s="1" t="s">
        <v>586</v>
      </c>
      <c r="P106" s="2" t="s">
        <v>587</v>
      </c>
      <c r="Q106" s="2" t="s">
        <v>588</v>
      </c>
      <c r="R106" s="2" t="s">
        <v>589</v>
      </c>
      <c r="S106" s="2" t="s">
        <v>590</v>
      </c>
      <c r="T106" s="2" t="s">
        <v>591</v>
      </c>
      <c r="U106" s="25"/>
      <c r="V106" s="25"/>
      <c r="W106" s="25"/>
      <c r="X106" s="25"/>
      <c r="Y106" s="27"/>
      <c r="AA106" s="10"/>
      <c r="AB106" s="10"/>
    </row>
    <row r="107" spans="1:28" ht="58" x14ac:dyDescent="0.35">
      <c r="A107" s="13" t="s">
        <v>580</v>
      </c>
      <c r="B107" s="13" t="s">
        <v>190</v>
      </c>
      <c r="C107" s="14" t="s">
        <v>581</v>
      </c>
      <c r="D107" s="13" t="s">
        <v>592</v>
      </c>
      <c r="E107" s="14" t="s">
        <v>593</v>
      </c>
      <c r="F107" s="14" t="s">
        <v>594</v>
      </c>
      <c r="G107" s="14" t="s">
        <v>583</v>
      </c>
      <c r="H107" s="14" t="s">
        <v>583</v>
      </c>
      <c r="I107" s="16" t="s">
        <v>36</v>
      </c>
      <c r="J107" s="17">
        <v>0</v>
      </c>
      <c r="K107" s="17">
        <v>0</v>
      </c>
      <c r="L107" s="16">
        <v>56</v>
      </c>
      <c r="M107" s="18" t="s">
        <v>584</v>
      </c>
      <c r="N107" s="26" t="s">
        <v>595</v>
      </c>
      <c r="O107" s="1" t="s">
        <v>596</v>
      </c>
      <c r="P107" s="2" t="s">
        <v>587</v>
      </c>
      <c r="Q107" s="2" t="s">
        <v>588</v>
      </c>
      <c r="R107" s="2" t="s">
        <v>589</v>
      </c>
      <c r="S107" s="2" t="s">
        <v>590</v>
      </c>
      <c r="T107" s="2" t="s">
        <v>591</v>
      </c>
      <c r="U107" s="25"/>
      <c r="V107" s="25"/>
      <c r="W107" s="25"/>
      <c r="X107" s="25"/>
      <c r="Y107" s="27"/>
      <c r="AA107" s="10"/>
      <c r="AB107" s="10"/>
    </row>
    <row r="108" spans="1:28" ht="116" x14ac:dyDescent="0.35">
      <c r="A108" s="13" t="s">
        <v>597</v>
      </c>
      <c r="B108" s="13" t="s">
        <v>598</v>
      </c>
      <c r="C108" s="14" t="s">
        <v>599</v>
      </c>
      <c r="D108" s="13" t="s">
        <v>582</v>
      </c>
      <c r="E108" s="14">
        <v>70915</v>
      </c>
      <c r="F108" s="14">
        <v>31518</v>
      </c>
      <c r="G108" s="14" t="s">
        <v>570</v>
      </c>
      <c r="H108" s="14" t="s">
        <v>570</v>
      </c>
      <c r="I108" s="16" t="s">
        <v>214</v>
      </c>
      <c r="J108" s="17">
        <v>0</v>
      </c>
      <c r="K108" s="17">
        <v>1</v>
      </c>
      <c r="L108" s="16">
        <v>56</v>
      </c>
      <c r="M108" s="18" t="s">
        <v>38</v>
      </c>
      <c r="N108" s="26" t="s">
        <v>177</v>
      </c>
      <c r="O108" s="1" t="s">
        <v>600</v>
      </c>
      <c r="P108" s="2" t="s">
        <v>601</v>
      </c>
      <c r="Q108" s="2" t="s">
        <v>602</v>
      </c>
      <c r="R108" s="2" t="s">
        <v>603</v>
      </c>
      <c r="S108" s="2" t="s">
        <v>604</v>
      </c>
      <c r="T108" s="2" t="s">
        <v>605</v>
      </c>
      <c r="U108" s="25"/>
      <c r="V108" s="25"/>
      <c r="W108" s="25"/>
      <c r="X108" s="25"/>
      <c r="Y108" s="25"/>
      <c r="Z108" s="10"/>
      <c r="AA108" s="10"/>
      <c r="AB108" s="10"/>
    </row>
    <row r="109" spans="1:28" ht="72.5" x14ac:dyDescent="0.35">
      <c r="A109" s="13" t="s">
        <v>597</v>
      </c>
      <c r="B109" s="13" t="s">
        <v>598</v>
      </c>
      <c r="C109" s="14" t="s">
        <v>599</v>
      </c>
      <c r="D109" s="13" t="s">
        <v>606</v>
      </c>
      <c r="E109" s="14" t="s">
        <v>607</v>
      </c>
      <c r="F109" s="14" t="s">
        <v>330</v>
      </c>
      <c r="G109" s="14" t="s">
        <v>570</v>
      </c>
      <c r="H109" s="14" t="s">
        <v>570</v>
      </c>
      <c r="I109" s="16" t="s">
        <v>214</v>
      </c>
      <c r="J109" s="17">
        <v>0</v>
      </c>
      <c r="K109" s="17">
        <v>0</v>
      </c>
      <c r="L109" s="16">
        <v>56</v>
      </c>
      <c r="M109" s="18" t="s">
        <v>38</v>
      </c>
      <c r="N109" s="26" t="s">
        <v>99</v>
      </c>
      <c r="O109" s="1" t="s">
        <v>608</v>
      </c>
      <c r="P109" s="2" t="s">
        <v>609</v>
      </c>
      <c r="Q109" s="2" t="s">
        <v>610</v>
      </c>
      <c r="R109" s="2" t="s">
        <v>611</v>
      </c>
      <c r="S109" s="2" t="s">
        <v>612</v>
      </c>
      <c r="T109" s="2" t="s">
        <v>613</v>
      </c>
      <c r="U109" s="25"/>
      <c r="V109" s="25"/>
      <c r="W109" s="25"/>
      <c r="X109" s="25"/>
      <c r="Y109" s="25"/>
      <c r="Z109" s="10"/>
      <c r="AA109" s="10"/>
      <c r="AB109" s="10"/>
    </row>
    <row r="110" spans="1:28" ht="319" x14ac:dyDescent="0.35">
      <c r="A110" s="13" t="s">
        <v>614</v>
      </c>
      <c r="B110" s="13" t="s">
        <v>598</v>
      </c>
      <c r="C110" s="14" t="s">
        <v>615</v>
      </c>
      <c r="D110" s="13" t="s">
        <v>616</v>
      </c>
      <c r="E110" s="14" t="s">
        <v>617</v>
      </c>
      <c r="F110" s="14" t="s">
        <v>618</v>
      </c>
      <c r="G110" s="14" t="s">
        <v>570</v>
      </c>
      <c r="H110" s="14" t="s">
        <v>570</v>
      </c>
      <c r="I110" s="16" t="s">
        <v>36</v>
      </c>
      <c r="J110" s="17">
        <v>0</v>
      </c>
      <c r="K110" s="17">
        <v>1</v>
      </c>
      <c r="L110" s="16">
        <v>56</v>
      </c>
      <c r="M110" s="18" t="s">
        <v>68</v>
      </c>
      <c r="N110" s="26" t="s">
        <v>139</v>
      </c>
      <c r="O110" s="1" t="s">
        <v>619</v>
      </c>
      <c r="P110" s="2" t="s">
        <v>609</v>
      </c>
      <c r="Q110" s="2" t="s">
        <v>610</v>
      </c>
      <c r="R110" s="2" t="s">
        <v>611</v>
      </c>
      <c r="S110" s="2" t="s">
        <v>612</v>
      </c>
      <c r="T110" s="2" t="s">
        <v>613</v>
      </c>
      <c r="U110" s="25"/>
      <c r="V110" s="25"/>
      <c r="W110" s="25"/>
      <c r="X110" s="25"/>
      <c r="Y110" s="25"/>
      <c r="Z110" s="10"/>
      <c r="AA110" s="10"/>
      <c r="AB110" s="10"/>
    </row>
    <row r="111" spans="1:28" ht="319" x14ac:dyDescent="0.35">
      <c r="A111" s="13" t="s">
        <v>614</v>
      </c>
      <c r="B111" s="13" t="s">
        <v>598</v>
      </c>
      <c r="C111" s="14" t="s">
        <v>615</v>
      </c>
      <c r="D111" s="13" t="s">
        <v>620</v>
      </c>
      <c r="E111" s="14" t="s">
        <v>450</v>
      </c>
      <c r="F111" s="14" t="s">
        <v>621</v>
      </c>
      <c r="G111" s="14" t="s">
        <v>570</v>
      </c>
      <c r="H111" s="14" t="s">
        <v>570</v>
      </c>
      <c r="I111" s="16" t="s">
        <v>214</v>
      </c>
      <c r="J111" s="17">
        <v>0</v>
      </c>
      <c r="K111" s="17">
        <v>0</v>
      </c>
      <c r="L111" s="16">
        <v>56</v>
      </c>
      <c r="M111" s="18" t="s">
        <v>102</v>
      </c>
      <c r="N111" s="26" t="s">
        <v>292</v>
      </c>
      <c r="O111" s="1" t="s">
        <v>619</v>
      </c>
      <c r="P111" s="2" t="s">
        <v>622</v>
      </c>
      <c r="Q111" s="2" t="s">
        <v>623</v>
      </c>
      <c r="R111" s="2" t="s">
        <v>624</v>
      </c>
      <c r="S111" s="2" t="s">
        <v>625</v>
      </c>
      <c r="T111" s="2" t="s">
        <v>626</v>
      </c>
      <c r="U111" s="25"/>
      <c r="V111" s="25"/>
      <c r="W111" s="25"/>
      <c r="X111" s="25"/>
      <c r="Y111" s="25"/>
      <c r="Z111" s="10"/>
      <c r="AA111" s="10"/>
      <c r="AB111" s="10"/>
    </row>
    <row r="112" spans="1:28" ht="319" x14ac:dyDescent="0.35">
      <c r="A112" s="13" t="s">
        <v>614</v>
      </c>
      <c r="B112" s="13" t="s">
        <v>598</v>
      </c>
      <c r="C112" s="14" t="s">
        <v>615</v>
      </c>
      <c r="D112" s="13" t="s">
        <v>627</v>
      </c>
      <c r="E112" s="14" t="s">
        <v>437</v>
      </c>
      <c r="F112" s="14" t="s">
        <v>628</v>
      </c>
      <c r="G112" s="14" t="s">
        <v>570</v>
      </c>
      <c r="H112" s="14" t="s">
        <v>570</v>
      </c>
      <c r="I112" s="16" t="s">
        <v>25</v>
      </c>
      <c r="J112" s="17">
        <v>0</v>
      </c>
      <c r="K112" s="17">
        <v>0</v>
      </c>
      <c r="L112" s="16">
        <v>56</v>
      </c>
      <c r="M112" s="18" t="s">
        <v>514</v>
      </c>
      <c r="N112" s="26" t="s">
        <v>139</v>
      </c>
      <c r="O112" s="1" t="s">
        <v>619</v>
      </c>
      <c r="P112" s="2" t="s">
        <v>622</v>
      </c>
      <c r="Q112" s="2" t="s">
        <v>623</v>
      </c>
      <c r="R112" s="2" t="s">
        <v>624</v>
      </c>
      <c r="S112" s="2" t="s">
        <v>625</v>
      </c>
      <c r="T112" s="2" t="s">
        <v>626</v>
      </c>
      <c r="U112" s="25"/>
      <c r="V112" s="25"/>
      <c r="W112" s="25"/>
      <c r="X112" s="25"/>
      <c r="Y112" s="25"/>
      <c r="Z112" s="10"/>
      <c r="AA112" s="10"/>
      <c r="AB112" s="10"/>
    </row>
    <row r="113" spans="1:28" ht="261" x14ac:dyDescent="0.35">
      <c r="A113" s="13" t="s">
        <v>629</v>
      </c>
      <c r="B113" s="13" t="s">
        <v>630</v>
      </c>
      <c r="C113" s="14" t="s">
        <v>631</v>
      </c>
      <c r="D113" s="13" t="s">
        <v>35</v>
      </c>
      <c r="E113" s="14">
        <v>37493</v>
      </c>
      <c r="F113" s="14" t="s">
        <v>632</v>
      </c>
      <c r="G113" s="14" t="s">
        <v>570</v>
      </c>
      <c r="H113" s="14" t="s">
        <v>570</v>
      </c>
      <c r="I113" s="16" t="s">
        <v>214</v>
      </c>
      <c r="J113" s="17">
        <v>0</v>
      </c>
      <c r="K113" s="17">
        <v>1</v>
      </c>
      <c r="L113" s="16">
        <v>56</v>
      </c>
      <c r="M113" s="18" t="s">
        <v>102</v>
      </c>
      <c r="N113" s="26" t="s">
        <v>105</v>
      </c>
      <c r="O113" s="1" t="s">
        <v>633</v>
      </c>
      <c r="P113" s="2" t="s">
        <v>634</v>
      </c>
      <c r="Q113" s="2" t="s">
        <v>635</v>
      </c>
      <c r="R113" s="2" t="s">
        <v>636</v>
      </c>
      <c r="S113" s="2" t="s">
        <v>637</v>
      </c>
      <c r="T113" s="2" t="s">
        <v>638</v>
      </c>
      <c r="U113" s="25"/>
      <c r="V113" s="25"/>
      <c r="W113" s="25"/>
      <c r="X113" s="25"/>
      <c r="Y113" s="25"/>
      <c r="Z113" s="10"/>
      <c r="AA113" s="10"/>
      <c r="AB113" s="10"/>
    </row>
    <row r="114" spans="1:28" ht="87" x14ac:dyDescent="0.35">
      <c r="A114" s="13" t="s">
        <v>629</v>
      </c>
      <c r="B114" s="13" t="s">
        <v>630</v>
      </c>
      <c r="C114" s="14" t="s">
        <v>631</v>
      </c>
      <c r="D114" s="13" t="s">
        <v>606</v>
      </c>
      <c r="E114" s="14" t="s">
        <v>639</v>
      </c>
      <c r="F114" s="14" t="s">
        <v>640</v>
      </c>
      <c r="G114" s="14" t="s">
        <v>570</v>
      </c>
      <c r="H114" s="14" t="s">
        <v>570</v>
      </c>
      <c r="I114" s="16" t="s">
        <v>36</v>
      </c>
      <c r="J114" s="17">
        <v>0</v>
      </c>
      <c r="K114" s="17">
        <v>0</v>
      </c>
      <c r="L114" s="16">
        <v>56</v>
      </c>
      <c r="M114" s="18" t="s">
        <v>62</v>
      </c>
      <c r="N114" s="26" t="s">
        <v>90</v>
      </c>
      <c r="O114" s="1" t="s">
        <v>641</v>
      </c>
      <c r="P114" s="2" t="s">
        <v>634</v>
      </c>
      <c r="Q114" s="2" t="s">
        <v>635</v>
      </c>
      <c r="R114" s="2" t="s">
        <v>636</v>
      </c>
      <c r="S114" s="2" t="s">
        <v>637</v>
      </c>
      <c r="T114" s="2" t="s">
        <v>638</v>
      </c>
      <c r="U114" s="25"/>
      <c r="V114" s="25"/>
      <c r="W114" s="25"/>
      <c r="X114" s="25"/>
      <c r="Y114" s="25"/>
      <c r="Z114" s="10"/>
      <c r="AA114" s="10"/>
      <c r="AB114" s="10"/>
    </row>
    <row r="115" spans="1:28" ht="72.5" x14ac:dyDescent="0.35">
      <c r="A115" s="13" t="s">
        <v>642</v>
      </c>
      <c r="B115" s="13" t="s">
        <v>643</v>
      </c>
      <c r="C115" s="14" t="s">
        <v>644</v>
      </c>
      <c r="D115" s="13" t="s">
        <v>645</v>
      </c>
      <c r="E115" s="14">
        <v>70557</v>
      </c>
      <c r="F115" s="14">
        <v>46519</v>
      </c>
      <c r="G115" s="14" t="s">
        <v>646</v>
      </c>
      <c r="H115" s="14" t="s">
        <v>646</v>
      </c>
      <c r="I115" s="16" t="s">
        <v>36</v>
      </c>
      <c r="J115" s="17">
        <v>0</v>
      </c>
      <c r="K115" s="17">
        <v>1</v>
      </c>
      <c r="L115" s="16">
        <v>56</v>
      </c>
      <c r="M115" s="18" t="s">
        <v>62</v>
      </c>
      <c r="N115" s="26" t="s">
        <v>90</v>
      </c>
      <c r="O115" s="2" t="s">
        <v>647</v>
      </c>
      <c r="P115" s="2" t="s">
        <v>622</v>
      </c>
      <c r="Q115" s="2" t="s">
        <v>648</v>
      </c>
      <c r="R115" s="2" t="s">
        <v>648</v>
      </c>
      <c r="S115" s="2" t="s">
        <v>649</v>
      </c>
      <c r="T115" s="2" t="s">
        <v>650</v>
      </c>
      <c r="U115" s="25"/>
      <c r="V115" s="25"/>
      <c r="W115" s="25"/>
      <c r="X115" s="25"/>
      <c r="Y115" s="25"/>
      <c r="Z115" s="10"/>
      <c r="AA115" s="10"/>
      <c r="AB115" s="10"/>
    </row>
    <row r="116" spans="1:28" ht="87" x14ac:dyDescent="0.35">
      <c r="A116" s="13" t="s">
        <v>642</v>
      </c>
      <c r="B116" s="13" t="s">
        <v>643</v>
      </c>
      <c r="C116" s="14" t="s">
        <v>644</v>
      </c>
      <c r="D116" s="13" t="s">
        <v>651</v>
      </c>
      <c r="E116" s="14">
        <v>61351</v>
      </c>
      <c r="F116" s="14">
        <v>40049</v>
      </c>
      <c r="G116" s="14" t="s">
        <v>646</v>
      </c>
      <c r="H116" s="14" t="s">
        <v>646</v>
      </c>
      <c r="I116" s="16" t="s">
        <v>214</v>
      </c>
      <c r="J116" s="17">
        <v>0</v>
      </c>
      <c r="K116" s="17">
        <v>0</v>
      </c>
      <c r="L116" s="16">
        <v>56</v>
      </c>
      <c r="M116" s="18" t="s">
        <v>152</v>
      </c>
      <c r="N116" s="26" t="s">
        <v>312</v>
      </c>
      <c r="O116" s="1" t="s">
        <v>652</v>
      </c>
      <c r="P116" s="3" t="s">
        <v>622</v>
      </c>
      <c r="Q116" s="3" t="s">
        <v>653</v>
      </c>
      <c r="R116" s="3" t="s">
        <v>653</v>
      </c>
      <c r="S116" s="3" t="s">
        <v>649</v>
      </c>
      <c r="T116" s="3" t="s">
        <v>654</v>
      </c>
      <c r="U116" s="25"/>
      <c r="V116" s="25"/>
      <c r="W116" s="25"/>
      <c r="X116" s="25"/>
      <c r="Y116" s="25"/>
      <c r="Z116" s="10"/>
      <c r="AA116" s="10"/>
      <c r="AB116" s="10"/>
    </row>
    <row r="117" spans="1:28" ht="116" x14ac:dyDescent="0.35">
      <c r="A117" s="13" t="s">
        <v>655</v>
      </c>
      <c r="B117" s="13" t="s">
        <v>643</v>
      </c>
      <c r="C117" s="14" t="s">
        <v>656</v>
      </c>
      <c r="D117" s="13" t="s">
        <v>657</v>
      </c>
      <c r="E117" s="14">
        <v>47562</v>
      </c>
      <c r="F117" s="14">
        <v>32424</v>
      </c>
      <c r="G117" s="14" t="s">
        <v>646</v>
      </c>
      <c r="H117" s="14" t="s">
        <v>646</v>
      </c>
      <c r="I117" s="16" t="s">
        <v>25</v>
      </c>
      <c r="J117" s="17">
        <v>0</v>
      </c>
      <c r="K117" s="17">
        <v>0</v>
      </c>
      <c r="L117" s="16">
        <v>56</v>
      </c>
      <c r="M117" s="18" t="s">
        <v>62</v>
      </c>
      <c r="N117" s="26" t="s">
        <v>124</v>
      </c>
      <c r="O117" s="1" t="s">
        <v>658</v>
      </c>
      <c r="P117" s="3" t="s">
        <v>634</v>
      </c>
      <c r="Q117" s="3" t="s">
        <v>659</v>
      </c>
      <c r="R117" s="3" t="s">
        <v>660</v>
      </c>
      <c r="S117" s="3" t="s">
        <v>661</v>
      </c>
      <c r="T117" s="3" t="s">
        <v>638</v>
      </c>
      <c r="U117" s="25"/>
      <c r="V117" s="25"/>
      <c r="W117" s="25"/>
      <c r="X117" s="25"/>
      <c r="Y117" s="25"/>
      <c r="Z117" s="10"/>
      <c r="AA117" s="10"/>
      <c r="AB117" s="10"/>
    </row>
    <row r="118" spans="1:28" ht="72.5" x14ac:dyDescent="0.35">
      <c r="A118" s="13" t="s">
        <v>655</v>
      </c>
      <c r="B118" s="13" t="s">
        <v>643</v>
      </c>
      <c r="C118" s="14" t="s">
        <v>656</v>
      </c>
      <c r="D118" s="13" t="s">
        <v>662</v>
      </c>
      <c r="E118" s="14" t="s">
        <v>663</v>
      </c>
      <c r="F118" s="14" t="s">
        <v>664</v>
      </c>
      <c r="G118" s="14" t="s">
        <v>646</v>
      </c>
      <c r="H118" s="14" t="s">
        <v>646</v>
      </c>
      <c r="I118" s="16" t="s">
        <v>25</v>
      </c>
      <c r="J118" s="17">
        <v>0</v>
      </c>
      <c r="K118" s="17">
        <v>0</v>
      </c>
      <c r="L118" s="16">
        <v>56</v>
      </c>
      <c r="M118" s="18" t="s">
        <v>68</v>
      </c>
      <c r="N118" s="26" t="s">
        <v>158</v>
      </c>
      <c r="O118" s="1" t="s">
        <v>665</v>
      </c>
      <c r="P118" s="3" t="s">
        <v>634</v>
      </c>
      <c r="Q118" s="3" t="s">
        <v>666</v>
      </c>
      <c r="R118" s="3" t="s">
        <v>660</v>
      </c>
      <c r="S118" s="3" t="s">
        <v>661</v>
      </c>
      <c r="T118" s="3" t="s">
        <v>667</v>
      </c>
      <c r="U118" s="25"/>
      <c r="V118" s="25"/>
      <c r="W118" s="25"/>
      <c r="X118" s="25"/>
      <c r="Y118" s="25"/>
      <c r="Z118" s="10"/>
      <c r="AA118" s="10"/>
      <c r="AB118" s="10"/>
    </row>
    <row r="119" spans="1:28" ht="101.5" x14ac:dyDescent="0.35">
      <c r="A119" s="13" t="s">
        <v>655</v>
      </c>
      <c r="B119" s="13" t="s">
        <v>643</v>
      </c>
      <c r="C119" s="14" t="s">
        <v>656</v>
      </c>
      <c r="D119" s="13" t="s">
        <v>668</v>
      </c>
      <c r="E119" s="14" t="s">
        <v>669</v>
      </c>
      <c r="F119" s="14" t="s">
        <v>670</v>
      </c>
      <c r="G119" s="14" t="s">
        <v>646</v>
      </c>
      <c r="H119" s="14" t="s">
        <v>646</v>
      </c>
      <c r="I119" s="16" t="s">
        <v>25</v>
      </c>
      <c r="J119" s="17">
        <v>0</v>
      </c>
      <c r="K119" s="17">
        <v>0</v>
      </c>
      <c r="L119" s="16">
        <v>56</v>
      </c>
      <c r="M119" s="18" t="s">
        <v>671</v>
      </c>
      <c r="N119" s="26">
        <v>75000</v>
      </c>
      <c r="O119" s="2" t="s">
        <v>672</v>
      </c>
      <c r="P119" s="2" t="s">
        <v>634</v>
      </c>
      <c r="Q119" s="2" t="s">
        <v>673</v>
      </c>
      <c r="R119" s="2" t="s">
        <v>660</v>
      </c>
      <c r="S119" s="2" t="s">
        <v>661</v>
      </c>
      <c r="T119" s="2" t="s">
        <v>674</v>
      </c>
      <c r="U119" s="25"/>
      <c r="V119" s="25"/>
      <c r="W119" s="25"/>
      <c r="X119" s="25"/>
      <c r="Y119" s="25"/>
      <c r="Z119" s="10"/>
      <c r="AA119" s="10"/>
      <c r="AB119" s="10"/>
    </row>
  </sheetData>
  <hyperlinks>
    <hyperlink ref="O2" r:id="rId1" display="https://www.grad.ubc.ca/prospective-students/graduate-degree-programs/master-of-business-analytics" xr:uid="{26539AB0-3332-41E5-8C87-11B49DCC7C99}"/>
    <hyperlink ref="O3" r:id="rId2" xr:uid="{51153296-63D0-4FA4-826A-C4E1C90E8C05}"/>
    <hyperlink ref="S2" r:id="rId3" location="public" xr:uid="{C0820D83-1F33-4721-B321-A2A2513CC891}"/>
    <hyperlink ref="R2" r:id="rId4" xr:uid="{7902CFD9-E1DE-4EEE-AE01-F1831806F501}"/>
    <hyperlink ref="Q2" r:id="rId5" xr:uid="{F3D19C1D-B546-4BDB-B975-040ED21AC54C}"/>
    <hyperlink ref="S3" r:id="rId6" location="public" xr:uid="{F73D2F1F-87B5-46CB-AEFD-4C1554CE187B}"/>
    <hyperlink ref="R3" r:id="rId7" xr:uid="{7D604A2F-0481-4ADF-ADCA-FCDA5D147268}"/>
    <hyperlink ref="Q3" r:id="rId8" xr:uid="{EF5F1E4D-1271-4A54-B487-FDA9930FA31D}"/>
    <hyperlink ref="T2" r:id="rId9" xr:uid="{F9131A97-4CFC-4A73-9CBD-4AA0C7EDB471}"/>
    <hyperlink ref="T3" r:id="rId10" xr:uid="{4C4B5DA9-51B4-4AC0-AD3D-09F1A6CA7D0B}"/>
    <hyperlink ref="T4" r:id="rId11" xr:uid="{38AEA4EA-43BE-4C9B-B451-13F8EFFF6B4C}"/>
    <hyperlink ref="O5" r:id="rId12" xr:uid="{7BC76B65-83B7-4A45-86FB-5E49F2D6DC1E}"/>
    <hyperlink ref="P5" r:id="rId13" xr:uid="{48985181-86FA-4D50-A332-483D6CB0D92A}"/>
    <hyperlink ref="Q5" r:id="rId14" xr:uid="{DC4714B3-55E6-4097-B9AB-17EF45104F6C}"/>
    <hyperlink ref="S5" r:id="rId15" xr:uid="{1FD5F4A8-9656-43C7-A3D7-E01C3C9CF896}"/>
    <hyperlink ref="O6" r:id="rId16" xr:uid="{8FBEE620-C1C5-47E4-97A4-F5CD17AA07E9}"/>
    <hyperlink ref="Q6" r:id="rId17" xr:uid="{76EC24FA-C3F2-4574-B4BD-F4DA3F0C33D3}"/>
    <hyperlink ref="O7" r:id="rId18" xr:uid="{0F6950FE-9878-406F-9C67-8DA749F96E99}"/>
    <hyperlink ref="Q7" r:id="rId19" xr:uid="{944BDF86-136A-4E70-BB9F-E195B013F96A}"/>
    <hyperlink ref="O8" r:id="rId20" xr:uid="{2C346136-C801-4A7C-9B11-F08C453A3FFA}"/>
    <hyperlink ref="Q8" r:id="rId21" xr:uid="{955CBC3C-03CA-452E-B97A-C964C1FC5BC9}"/>
    <hyperlink ref="O9" r:id="rId22" xr:uid="{AB2E0983-2AA6-4CD7-B922-5A032BE4049B}"/>
    <hyperlink ref="Q9" r:id="rId23" xr:uid="{80750ECB-D484-4E16-8D6E-00CD6C855494}"/>
    <hyperlink ref="P6" r:id="rId24" xr:uid="{750BCE4A-C771-404A-BB48-7797D5124F92}"/>
    <hyperlink ref="P7" r:id="rId25" xr:uid="{732294B2-F7AC-40BA-A0D2-B8ADC222F0DD}"/>
    <hyperlink ref="P8" r:id="rId26" xr:uid="{CAA0E347-E1A3-47B5-9623-9430B75B99B1}"/>
    <hyperlink ref="P9" r:id="rId27" xr:uid="{02B0A639-9612-44C2-A0C0-69017FFABE7E}"/>
    <hyperlink ref="S6" r:id="rId28" location="public" xr:uid="{2B7B0407-4605-41BC-B987-6127034A197E}"/>
    <hyperlink ref="S7" r:id="rId29" location="public" xr:uid="{1578C394-652B-4512-BE80-A23F2ABA5BC5}"/>
    <hyperlink ref="S8" r:id="rId30" location="public" xr:uid="{D4B7AF19-7711-432F-B446-551EEF5B70D1}"/>
    <hyperlink ref="S9" r:id="rId31" location="public" xr:uid="{E251607D-F6AA-4454-AD2E-977EE71A944B}"/>
    <hyperlink ref="T6" r:id="rId32" xr:uid="{77A6A032-3D57-4DA0-B051-5FCE3A4F8919}"/>
    <hyperlink ref="T7" r:id="rId33" xr:uid="{C05BDC5E-A5EA-43EB-B071-8BD7D65E919E}"/>
    <hyperlink ref="Q23" r:id="rId34" xr:uid="{9AA0F40C-4948-4576-BD18-41C8E9B0DE2A}"/>
    <hyperlink ref="Q24:Q26" r:id="rId35" location="public" display="https://www.canada.ca/en/immigration-refugees-citizenship/services/study-canada/study-permit/prepare/designated-learning-institutions-list.html#public" xr:uid="{F6852122-8330-4216-B847-D8DADC666FEA}"/>
    <hyperlink ref="O27" r:id="rId36" xr:uid="{23827007-C020-47C7-8C4F-E91A9E1BE2D9}"/>
    <hyperlink ref="O28" r:id="rId37" xr:uid="{F5EC03E7-1133-48F8-A871-2E2B3AC3E62C}"/>
    <hyperlink ref="O29" r:id="rId38" xr:uid="{D11BC17C-2361-4276-BD61-DCFF6A885E3A}"/>
    <hyperlink ref="O30" r:id="rId39" xr:uid="{FA9D611B-2E7F-4FEB-B36A-8C50778EE703}"/>
    <hyperlink ref="Q29" r:id="rId40" xr:uid="{00642272-84B4-4B6B-9C55-13D7AC167C06}"/>
    <hyperlink ref="P30" r:id="rId41" display="https://www.topuniversities.com/world-university-rankings?countries=ca&amp;search=McGill%20University" xr:uid="{74CD4414-8D71-4EDF-97E0-7870ECA5A8CB}"/>
    <hyperlink ref="P29" r:id="rId42" display="https://www.topuniversities.com/world-university-rankings?countries=ca&amp;search=McGill%20University" xr:uid="{58FAE64B-8A1B-46F9-A953-542272C7C9D9}"/>
    <hyperlink ref="P28" r:id="rId43" display="https://www.topuniversities.com/world-university-rankings?countries=ca&amp;search=McGill%20University" xr:uid="{660657CF-9A68-4ED6-95BC-BFA2DE24808F}"/>
    <hyperlink ref="P27" r:id="rId44" display="https://www.topuniversities.com/world-university-rankings?countries=ca&amp;search=McGill%20University" xr:uid="{0532656E-D2AB-489E-86B5-4C4C483CD4E0}"/>
    <hyperlink ref="S27:S30" r:id="rId45" location="public" display="https://www.canada.ca/en/immigration-refugees-citizenship/services/study-canada/study-permit/prepare/designated-learning-institutions-list.html#public" xr:uid="{435E2964-80FF-4D19-832C-E5E261D7C273}"/>
    <hyperlink ref="O48:O56" r:id="rId46" display="https://oirp.carleton.ca/graduate-placement/tables/prov-table-by-rpgm.pdf" xr:uid="{914648C5-F5F7-46AD-BD3D-977E0F4C0C2C}"/>
    <hyperlink ref="R56" r:id="rId47" xr:uid="{8AA87930-A9F2-4EFA-9755-F0D79F6C133D}"/>
    <hyperlink ref="T57" r:id="rId48" xr:uid="{5D66A9DD-EB0C-4EF7-A096-34EF4193DD0F}"/>
    <hyperlink ref="T60" r:id="rId49" xr:uid="{1C94BB76-ED39-4BC5-92A9-BF6814080AFF}"/>
    <hyperlink ref="T61" r:id="rId50" xr:uid="{6BD8C53B-19C6-44B2-B042-C44D5D199A55}"/>
    <hyperlink ref="T62" r:id="rId51" xr:uid="{655AA746-F971-44A0-9B14-623C8116C9C1}"/>
    <hyperlink ref="T87" r:id="rId52" xr:uid="{5C889640-C722-4C7C-8E44-E59D1AFE4F92}"/>
    <hyperlink ref="O89" r:id="rId53" xr:uid="{D35B7CEE-30E5-478B-85FF-F4D354A2D0C2}"/>
    <hyperlink ref="O90" r:id="rId54" xr:uid="{C07BF1CD-7F3F-4061-845C-467748C48116}"/>
    <hyperlink ref="O91" r:id="rId55" xr:uid="{6529A31C-8151-448A-82E5-F3D292B3E531}"/>
    <hyperlink ref="O92" r:id="rId56" xr:uid="{D3888B56-EC2D-4ADF-99EE-3AAA790BF173}"/>
    <hyperlink ref="O93" r:id="rId57" xr:uid="{E21952A8-5FAB-4C4C-B60A-F5D27A225E58}"/>
    <hyperlink ref="O94" r:id="rId58" xr:uid="{642B0FB3-8826-4021-A7C8-399F8835346F}"/>
    <hyperlink ref="O95" r:id="rId59" xr:uid="{3BC7DBBF-9ECB-4C4D-A95A-E10FB98DA83F}"/>
    <hyperlink ref="O97" r:id="rId60" xr:uid="{87ED691E-3139-4874-93B8-B3BB41062932}"/>
    <hyperlink ref="O98" r:id="rId61" location="masters-program-tuition-rates" xr:uid="{E0CEE50D-9E82-4999-866A-D3495B8B767D}"/>
    <hyperlink ref="O99" r:id="rId62" xr:uid="{58556822-3BDA-4DC3-A0F8-D73390573380}"/>
    <hyperlink ref="O100" r:id="rId63" xr:uid="{11DC9100-6998-49BD-80FD-39236D628C57}"/>
    <hyperlink ref="O101" r:id="rId64" xr:uid="{28EC0DC8-4BB5-41BD-B0D4-7D2A4A99905A}"/>
    <hyperlink ref="O102" r:id="rId65" xr:uid="{7B406F77-A581-4CC7-9B48-5667EF40DF69}"/>
    <hyperlink ref="O103" r:id="rId66" xr:uid="{1651CAE4-B412-4FE8-8E09-2E52E5C8928B}"/>
    <hyperlink ref="O104" r:id="rId67" display="https://www.unb.ca/finance/_assets/documents/financial-services/saint-john-tuition/grad/all-other/sj_gr_int_mba_ft.pdf ; https://www.unb.ca/gradstudies/programs/business-sj.html ; https://www.accessmba.com/program/university-of-new-brunswick-saint-john-campus/3538" xr:uid="{866EC873-745E-487D-9EAF-E75FD433FAA3}"/>
    <hyperlink ref="O105" r:id="rId68" display="https://www.unb.ca/finance/_assets/documents/financial-services/fredericton-tuition/grad/course-based/fred_gr_cb_mba_srm_ccgm_ft.pdf ; https://www.unb.ca/fredericton/management/grad/mba/index.html ; https://www.topuniversities.com/university-new-brunswick/master-business-administration" xr:uid="{F2DC4219-ECCE-4C9A-97D7-EE9DC1A7D5D5}"/>
    <hyperlink ref="Q101" r:id="rId69" xr:uid="{52B471DD-3828-4196-929A-788BB714241F}"/>
    <hyperlink ref="P100" r:id="rId70" xr:uid="{68900618-2757-4DA3-91AA-2EF4B506B377}"/>
    <hyperlink ref="P101" r:id="rId71" xr:uid="{4492DF97-454B-49E4-ABAF-066C2371B2F1}"/>
    <hyperlink ref="R101" r:id="rId72" xr:uid="{08CA4BB7-727F-47A9-9D88-3AA9A9D3E0CB}"/>
    <hyperlink ref="O106" r:id="rId73" xr:uid="{070CCCDD-EDDD-49B8-A3FE-26E5F5362CF9}"/>
    <hyperlink ref="O107" r:id="rId74" xr:uid="{7877429E-B4F7-442A-B2A4-0BF2C0F4E108}"/>
    <hyperlink ref="O108" r:id="rId75" xr:uid="{E34AF340-28ED-486A-8127-0A47D06D41EB}"/>
    <hyperlink ref="O109" r:id="rId76" xr:uid="{C11D549A-815B-40D0-8978-122B2DF217BD}"/>
    <hyperlink ref="O110" r:id="rId77" display="https://www.uregina.ca/academics/programs/bus-admin/levene/master-business-administration.html ; https://www.uregina.ca/financial-services/assets/pdf/fee-schedules/202620-grad-studies-tuition-schedule-feb-2.pdf ; https://collegedunia.com/canada/college/97-university-of-regina-regina" xr:uid="{F53CA715-37A4-4585-B602-4AA58C11C634}"/>
    <hyperlink ref="O111" r:id="rId78" display="https://www.uregina.ca/academics/programs/bus-admin/levene/master-business-administration.html ; https://www.uregina.ca/financial-services/assets/pdf/fee-schedules/202620-grad-studies-tuition-schedule-feb-2.pdf ; https://collegedunia.com/canada/college/97-university-of-regina-regina" xr:uid="{22348D63-ADE7-4774-8426-F9C05D741330}"/>
    <hyperlink ref="O112" r:id="rId79" display="https://www.uregina.ca/academics/programs/bus-admin/levene/master-business-administration.html ; https://www.uregina.ca/financial-services/assets/pdf/fee-schedules/202620-grad-studies-tuition-schedule-feb-2.pdf ; https://collegedunia.com/canada/college/97-university-of-regina-regina" xr:uid="{ADDE3913-68FD-42B6-B908-3204FD9E0654}"/>
    <hyperlink ref="O113" r:id="rId80" xr:uid="{6991738A-6E5D-4E49-992B-52DA358D6527}"/>
    <hyperlink ref="O114" r:id="rId81" xr:uid="{1549B9AF-E1C2-4E8F-961D-896F5AAD0F7F}"/>
    <hyperlink ref="O116" r:id="rId82" display="https://www.sfu.ca/beedie/programs/graduate/master-of-science-in-finance/overview.html ; https://www.sfu.ca/beedie/programs/graduate.html" xr:uid="{A1048DD9-7C17-4503-95B4-17B744D319C1}"/>
    <hyperlink ref="O117" r:id="rId83" display="https://www.uvic.ca/graduate/programs/graduate-programs/credential-pages/business-cred/business-administration-mba.php?residency=D ; https://www.uvic.ca/gustavson/about/rankings-and-reputation/index.php" xr:uid="{1BB86DD3-DB35-4748-BDFF-DF96EB10076C}"/>
    <hyperlink ref="O118" r:id="rId84" display="https://www.uvic.ca/graduate/programs/graduate-programs/credential-pages/business-cred/global-business-mgb.php?residency=I ; https://www.uvic.ca/gustavson/about/rankings-and-reputation/index.php" xr:uid="{3A51FB41-738A-42B1-8D43-727DAF92DF51}"/>
    <hyperlink ref="O37" r:id="rId85" xr:uid="{1D7F1ADC-BACC-45AB-9784-78F9B060B726}"/>
    <hyperlink ref="O38" r:id="rId86" xr:uid="{A3E48B72-BA2A-4BE5-89F3-4126C3F5C586}"/>
    <hyperlink ref="O39" r:id="rId87" xr:uid="{ACB9C0F2-96FD-4F32-8322-29EC0A741C16}"/>
    <hyperlink ref="P37" r:id="rId88" display="https://www.topuniversities.com/world-university-rankings?countries=ca&amp;search=Brock%20University" xr:uid="{A4227592-B79A-4AA7-8574-E717516CECC8}"/>
    <hyperlink ref="P38" r:id="rId89" display="https://www.topuniversities.com/world-university-rankings?countries=ca&amp;search=Brock%20University" xr:uid="{B94A9067-FCAF-441F-BE38-32BABFAA6BB2}"/>
    <hyperlink ref="P39" r:id="rId90" display="https://www.topuniversities.com/world-university-rankings?countries=ca&amp;search=Brock%20University" xr:uid="{C0EDA5CB-CA83-4BE8-A9A0-51349509FDF2}"/>
    <hyperlink ref="S37:S39" r:id="rId91" location="public" display="https://www.canada.ca/en/immigration-refugees-citizenship/services/study-canada/study-permit/prepare/designated-learning-institutions-list.html#public" xr:uid="{C1DC15F0-E1C9-4BFC-A71F-E0929DE7231C}"/>
    <hyperlink ref="O40" r:id="rId92" xr:uid="{4E8E1E53-04D8-429C-AFCA-DFBD24A28B6A}"/>
    <hyperlink ref="O41" r:id="rId93" xr:uid="{7139712A-CCE5-49EA-AF3A-27323F8FDAB6}"/>
    <hyperlink ref="P40" r:id="rId94" display="https://www.topuniversities.com/world-university-rankings?countries=ca&amp;search=guelph" xr:uid="{9E9C8A84-ED6D-422A-9DD0-5A78A3642522}"/>
    <hyperlink ref="S40" r:id="rId95" location="public" xr:uid="{D4F2B521-F328-4606-8C46-E2A2C0E76C00}"/>
    <hyperlink ref="S41" r:id="rId96" location="public" xr:uid="{3C6B6195-4359-4C32-864E-D9AD61DAAFD3}"/>
    <hyperlink ref="T41" r:id="rId97" xr:uid="{967F1EF1-F5A1-41F1-9DE5-76482FF73F12}"/>
    <hyperlink ref="T40" r:id="rId98" xr:uid="{CF269F49-4BAE-4DFB-B3F4-1BCD73B2FA93}"/>
    <hyperlink ref="T46" r:id="rId99" xr:uid="{317A7B6D-00AA-4B41-9C96-0787D8349DE6}"/>
    <hyperlink ref="T47:T55" r:id="rId100" display="https://oirp.carleton.ca/graduate-placement/tables/prov-table-by-rpgm.pdf" xr:uid="{623EB64E-334D-462E-BF27-028A4BDE33BB}"/>
    <hyperlink ref="S55" r:id="rId101" location="public" xr:uid="{93AAF367-A017-4247-B71B-A219F283D050}"/>
    <hyperlink ref="T58" r:id="rId102" xr:uid="{C243D86D-7F3F-4CDE-837E-4ED397C788E9}"/>
    <hyperlink ref="T59" r:id="rId103" xr:uid="{4472538A-70D5-4C08-B527-8DE39D0FD905}"/>
    <hyperlink ref="Q4" r:id="rId104" xr:uid="{69D14EA1-3D09-40DA-BF40-7B5DF725648A}"/>
    <hyperlink ref="R4" r:id="rId105" xr:uid="{087B177A-9B93-4355-AC63-E4AD1B7B546C}"/>
    <hyperlink ref="S4" r:id="rId106" location="public" xr:uid="{5B50E80C-077D-4F7B-A165-729C13610FAA}"/>
    <hyperlink ref="O23" r:id="rId107" xr:uid="{2BB33709-2D08-4EE5-8BEB-314928B95A7A}"/>
    <hyperlink ref="O24" r:id="rId108" xr:uid="{4E619023-4178-44C9-B3CD-5260FC52BA73}"/>
    <hyperlink ref="S23:S24" r:id="rId109" location="public" display="https://www.canada.ca/en/immigration-refugees-citizenship/services/study-canada/study-permit/prepare/designated-learning-institutions-list.html#public" xr:uid="{BCD34062-F9D4-443A-B01C-AC543A6DF685}"/>
    <hyperlink ref="P23" r:id="rId110" display="https://www.topuniversities.com/world-university-rankings?countries=ca&amp;search=windsor" xr:uid="{CFD1439D-BE41-4EF0-98DE-CB5EE2A6DF95}"/>
    <hyperlink ref="P24" r:id="rId111" display="https://www.topuniversities.com/world-university-rankings?countries=ca&amp;search=windsor" xr:uid="{C378CA23-992A-4B3D-AF6B-DD7739DDB90C}"/>
    <hyperlink ref="R23" r:id="rId112" xr:uid="{72F84D68-8198-4351-B0A2-05A168A93458}"/>
    <hyperlink ref="R24" r:id="rId113" xr:uid="{EAB2462A-C11E-45A9-A5A2-7E5F6642B2D2}"/>
    <hyperlink ref="O25" r:id="rId114" xr:uid="{D1C1ED11-E4D9-475C-AAB7-917BC2AB18C5}"/>
    <hyperlink ref="Q25" r:id="rId115" xr:uid="{FA3DDA36-DE87-4FC2-B7A0-CF0493A05528}"/>
    <hyperlink ref="O26" r:id="rId116" xr:uid="{BFD69834-516F-4C4C-B9EA-F181AD85B40D}"/>
    <hyperlink ref="S25:S26" r:id="rId117" location="public" display="https://www.canada.ca/en/immigration-refugees-citizenship/services/study-canada/study-permit/prepare/designated-learning-institutions-list.html#public" xr:uid="{55F1C195-8324-4D71-A783-91F3A0281D0C}"/>
    <hyperlink ref="P25" r:id="rId118" display="https://www.topuniversities.com/world-university-rankings?countries=ca&amp;search=toronto%20metro" xr:uid="{1B6997C3-9720-4030-A7A7-B0C05D74F75D}"/>
    <hyperlink ref="P26" r:id="rId119" display="https://www.topuniversities.com/world-university-rankings?countries=ca&amp;search=toronto%20metro" xr:uid="{7E571975-991A-4246-B5ED-249347A6AF80}"/>
    <hyperlink ref="O31" r:id="rId120" xr:uid="{7B087F11-DE04-4F56-8216-830BD39D6489}"/>
    <hyperlink ref="O32" r:id="rId121" xr:uid="{CD060F84-3356-4138-B76C-201CF90B0F8A}"/>
    <hyperlink ref="O33" r:id="rId122" xr:uid="{5B6715AF-027A-4ECB-B5A0-90BC691E6B0E}"/>
    <hyperlink ref="O34" r:id="rId123" xr:uid="{F3BD5F31-5B4A-41B1-8293-30CA3B503FFB}"/>
    <hyperlink ref="O35" r:id="rId124" xr:uid="{0F3FD7D2-1DB2-457A-B0E3-869D31F6A10C}"/>
    <hyperlink ref="O36" r:id="rId125" xr:uid="{36FFA738-6E17-4E8E-8AD0-39C947F457E7}"/>
    <hyperlink ref="P31" r:id="rId126" display="https://www.topuniversities.com/world-university-rankings?countries=ca&amp;search=Concordia%20University" xr:uid="{4BB8F64A-4731-4C47-9AAD-A8AF2DEE39E9}"/>
    <hyperlink ref="P32" r:id="rId127" display="https://www.topuniversities.com/world-university-rankings?countries=ca&amp;search=Concordia%20University" xr:uid="{0F679A46-3765-4AE4-AE6B-04937697E670}"/>
    <hyperlink ref="P33" r:id="rId128" display="https://www.topuniversities.com/world-university-rankings?countries=ca&amp;search=Concordia%20University" xr:uid="{6CFA580D-7155-4E91-AE83-24475F0BDF90}"/>
    <hyperlink ref="P34" r:id="rId129" display="https://www.topuniversities.com/world-university-rankings?countries=ca&amp;search=Concordia%20University" xr:uid="{5B71AC3C-DD2D-4CB1-AE2A-43AA6CE45AB2}"/>
    <hyperlink ref="P35" r:id="rId130" display="https://www.topuniversities.com/world-university-rankings?countries=ca&amp;search=Concordia%20University" xr:uid="{40EFE4B9-5BC0-4FC1-9777-DD7BEAF9B134}"/>
    <hyperlink ref="S31:S36" r:id="rId131" location="public" display="https://www.canada.ca/en/immigration-refugees-citizenship/services/study-canada/study-permit/prepare/designated-learning-institutions-list.html#public" xr:uid="{91C3A947-3900-4C7B-8621-61778ABBD421}"/>
    <hyperlink ref="S57" r:id="rId132" location="public" xr:uid="{27D5E068-375E-4851-8A30-CD93FD9C62D9}"/>
    <hyperlink ref="S56" r:id="rId133" location="public" xr:uid="{D86AF813-8878-4136-B0F2-456ACF95D366}"/>
    <hyperlink ref="O10" r:id="rId134" xr:uid="{68D0A914-96C6-4F9E-B739-0EEBD22C941D}"/>
    <hyperlink ref="P10" r:id="rId135" xr:uid="{AF9116B8-D7B1-4628-942A-7E52C2CB1D43}"/>
    <hyperlink ref="Q10" r:id="rId136" xr:uid="{3660FCFB-817A-46E9-BD56-6C57EFE6260C}"/>
    <hyperlink ref="O11" r:id="rId137" xr:uid="{52D29E23-6643-4C75-8E22-2019B30E20D9}"/>
    <hyperlink ref="Q11" r:id="rId138" xr:uid="{36489AD7-FD32-42E2-BE31-A90799AA6F34}"/>
    <hyperlink ref="O12" r:id="rId139" xr:uid="{CC12D17F-5755-45F2-85C0-9471CE41DD3E}"/>
    <hyperlink ref="Q12" r:id="rId140" xr:uid="{FAF269C6-4F5A-4F6F-A0C3-84B460D96DF4}"/>
    <hyperlink ref="O13" r:id="rId141" xr:uid="{62816C08-EFAF-480A-8121-AC3EE71438CF}"/>
    <hyperlink ref="Q13" r:id="rId142" xr:uid="{7FF10C2F-111C-441E-8BEB-3CB5328E11D8}"/>
    <hyperlink ref="O14" r:id="rId143" xr:uid="{EC9204D8-4FDF-4D5E-A83A-2B50BC2F3075}"/>
    <hyperlink ref="Q14" r:id="rId144" xr:uid="{0DA54C6F-DB0B-4EF6-A7A4-FCCF038AA5DA}"/>
    <hyperlink ref="T13" r:id="rId145" xr:uid="{DEFE5FDF-F4E4-4EB8-8FE4-B8BD7514B88C}"/>
    <hyperlink ref="R13" r:id="rId146" xr:uid="{87EE8CFD-D0A6-48E1-B491-BDCC9C4EB986}"/>
    <hyperlink ref="S10" r:id="rId147" location="public" xr:uid="{5D13FBC9-5873-4FC5-819A-E52D20A2334B}"/>
    <hyperlink ref="S11" r:id="rId148" location="public" xr:uid="{D3A2B4E0-9A45-4C00-B0D3-BE3B6820D027}"/>
    <hyperlink ref="S12" r:id="rId149" location="public" xr:uid="{F2CD2FE2-3CA8-4C12-8B10-6F1865E2AF58}"/>
    <hyperlink ref="S13" r:id="rId150" location="public" xr:uid="{97FD2AA7-8DEB-41AD-99FF-0733CFAECA12}"/>
    <hyperlink ref="S14" r:id="rId151" location="public" xr:uid="{CAD8E12E-8D0D-4B84-9AEC-10C31A75E0B2}"/>
    <hyperlink ref="O15" r:id="rId152" xr:uid="{10CF9BF8-67F7-4F30-AA1E-012517B235A1}"/>
    <hyperlink ref="P15" r:id="rId153" xr:uid="{EB03D217-F9B0-4B28-9636-5714C7224A6E}"/>
    <hyperlink ref="Q15" r:id="rId154" xr:uid="{DB596058-0A9E-4C93-B3CE-225F725E2F91}"/>
    <hyperlink ref="R15" r:id="rId155" xr:uid="{AB6FE380-0026-470A-BDD3-EF14CBDA4B4F}"/>
    <hyperlink ref="O16" r:id="rId156" xr:uid="{70253084-9EE0-4D7D-8621-3AB140734EED}"/>
    <hyperlink ref="P16" r:id="rId157" xr:uid="{A127C830-AEEF-407A-87FD-7B9E41185A32}"/>
    <hyperlink ref="Q16" r:id="rId158" xr:uid="{94524772-64D9-4509-B5CE-32369252FC79}"/>
    <hyperlink ref="R16" r:id="rId159" xr:uid="{2B823F66-3E0A-4946-B862-7AE1506B591B}"/>
    <hyperlink ref="O17" r:id="rId160" xr:uid="{1656FB0B-55F8-4216-B9F8-9A6FCE9BC092}"/>
    <hyperlink ref="P17" r:id="rId161" xr:uid="{B56AE435-D5A5-492F-9973-B7F1A3436585}"/>
    <hyperlink ref="Q17" r:id="rId162" xr:uid="{D39E3338-A461-42EE-BF54-963FE0416C70}"/>
    <hyperlink ref="R17" r:id="rId163" xr:uid="{BD7A016F-672C-4B89-8F88-E5CF0242BDF9}"/>
    <hyperlink ref="O18" r:id="rId164" xr:uid="{3F33FF35-9856-4E15-A633-B4F94DDCA238}"/>
    <hyperlink ref="P18" r:id="rId165" xr:uid="{08415DC7-FB90-4D28-A4F1-C69A01E55A01}"/>
    <hyperlink ref="Q18" r:id="rId166" xr:uid="{3D336433-F423-4857-9C00-33E6699D4608}"/>
    <hyperlink ref="R18" r:id="rId167" xr:uid="{6C3439CA-315C-40E3-AD5C-530187C92C1B}"/>
    <hyperlink ref="T18" r:id="rId168" xr:uid="{B2B634CE-C1C0-4605-AA7F-4D960F46BE74}"/>
    <hyperlink ref="T17" r:id="rId169" xr:uid="{746AAF73-0065-4F74-8509-8F47D538E2EB}"/>
    <hyperlink ref="T16" r:id="rId170" xr:uid="{F64ECA72-D73B-4B60-AF96-9BB43CBF2C4D}"/>
    <hyperlink ref="T15" r:id="rId171" xr:uid="{8016D42E-F454-4C80-9DE2-37BC22F4DB97}"/>
    <hyperlink ref="S15:S18" r:id="rId172" location="public" display="https://www.canada.ca/en/immigration-refugees-citizenship/services/study-canada/study-permit/prepare/designated-learning-institutions-list.html#public" xr:uid="{95DD249E-7DF6-47A8-91F1-86609351EB45}"/>
    <hyperlink ref="O19" r:id="rId173" xr:uid="{806F58B0-FC92-4B49-AB0D-17978962B2B9}"/>
    <hyperlink ref="P19" r:id="rId174" xr:uid="{880B86CB-7994-4094-85FA-2D6411D700E5}"/>
    <hyperlink ref="Q19" r:id="rId175" xr:uid="{AEC2E44F-4062-4481-8B7B-5F166300DD3F}"/>
    <hyperlink ref="R19" r:id="rId176" xr:uid="{24177EF2-4AFB-492B-BF58-FC6C4B4E63A8}"/>
    <hyperlink ref="O20" r:id="rId177" xr:uid="{F72C8F6D-8690-4734-9460-48049B8D90C1}"/>
    <hyperlink ref="P20" r:id="rId178" xr:uid="{B02A887C-DEA7-4810-84A7-DEFF7F1895D8}"/>
    <hyperlink ref="Q20" r:id="rId179" xr:uid="{56FE7206-11E9-4604-ABA7-57C6C8F5342C}"/>
    <hyperlink ref="R20" r:id="rId180" xr:uid="{7DC0D3B8-F172-43F4-BD38-D14ED06818F1}"/>
    <hyperlink ref="O21" r:id="rId181" xr:uid="{F31D24C4-7DF9-4142-A2B2-2947B7FE5AD4}"/>
    <hyperlink ref="P21" r:id="rId182" xr:uid="{181E0A91-A899-4054-AAE9-C199D3266033}"/>
    <hyperlink ref="Q21" r:id="rId183" xr:uid="{331240F6-B788-4CAD-9491-30862E7A883A}"/>
    <hyperlink ref="R21" r:id="rId184" xr:uid="{F326E95F-47DD-401E-8F3A-9DCCF9B11554}"/>
    <hyperlink ref="O22" r:id="rId185" xr:uid="{3C46E26F-2EFA-41ED-BB56-E1B9A56B096A}"/>
    <hyperlink ref="P22" r:id="rId186" xr:uid="{81B7F456-FB0F-4803-BC0F-7848349B8518}"/>
    <hyperlink ref="Q22" r:id="rId187" xr:uid="{1900F067-0543-422A-96AD-DEC8C29759F0}"/>
    <hyperlink ref="R22" r:id="rId188" xr:uid="{D0C61484-EDC9-4B1D-A534-246CE19393E8}"/>
    <hyperlink ref="S19:S22" r:id="rId189" location="public" display="https://www.canada.ca/en/immigration-refugees-citizenship/services/study-canada/study-permit/prepare/designated-learning-institutions-list.html#public" xr:uid="{63A019C2-8255-4E76-B2BB-071F5760010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32ED-E7CA-4F92-B715-423749467E69}">
  <dimension ref="A1:C4"/>
  <sheetViews>
    <sheetView workbookViewId="0">
      <selection activeCell="C1" sqref="A1:C1"/>
    </sheetView>
  </sheetViews>
  <sheetFormatPr defaultColWidth="15.90625" defaultRowHeight="14.5" x14ac:dyDescent="0.35"/>
  <sheetData>
    <row r="1" spans="1:3" x14ac:dyDescent="0.35">
      <c r="A1" s="34" t="s">
        <v>675</v>
      </c>
      <c r="B1" s="34" t="s">
        <v>676</v>
      </c>
      <c r="C1" s="34" t="s">
        <v>677</v>
      </c>
    </row>
    <row r="2" spans="1:3" x14ac:dyDescent="0.35">
      <c r="A2" s="33" t="s">
        <v>9</v>
      </c>
      <c r="B2" s="33" t="s">
        <v>678</v>
      </c>
      <c r="C2" s="33" t="s">
        <v>679</v>
      </c>
    </row>
    <row r="3" spans="1:3" x14ac:dyDescent="0.35">
      <c r="A3" s="33" t="s">
        <v>10</v>
      </c>
      <c r="B3" s="33" t="s">
        <v>680</v>
      </c>
      <c r="C3" s="33" t="s">
        <v>681</v>
      </c>
    </row>
    <row r="4" spans="1:3" x14ac:dyDescent="0.35">
      <c r="A4" s="33" t="s">
        <v>2</v>
      </c>
      <c r="B4" s="33" t="s">
        <v>682</v>
      </c>
      <c r="C4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Final_Data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Priyanka Vilas Killedar</cp:lastModifiedBy>
  <cp:revision/>
  <dcterms:created xsi:type="dcterms:W3CDTF">2026-03-14T15:31:14Z</dcterms:created>
  <dcterms:modified xsi:type="dcterms:W3CDTF">2026-03-29T16:02:34Z</dcterms:modified>
  <cp:category/>
  <cp:contentStatus/>
</cp:coreProperties>
</file>